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hidePivotFieldList="1" defaultThemeVersion="124226"/>
  <bookViews>
    <workbookView xWindow="240" yWindow="105" windowWidth="14805" windowHeight="8010" firstSheet="3" activeTab="3"/>
  </bookViews>
  <sheets>
    <sheet name="Sheet2" sheetId="6" state="hidden" r:id="rId1"/>
    <sheet name="Sheet4" sheetId="8" state="hidden" r:id="rId2"/>
    <sheet name="Sheet5" sheetId="9" state="hidden" r:id="rId3"/>
    <sheet name="dashboarding" sheetId="5" r:id="rId4"/>
    <sheet name="PAYROLL" sheetId="1" r:id="rId5"/>
  </sheets>
  <definedNames>
    <definedName name="_xlnm._FilterDatabase" localSheetId="4" hidden="1">PAYROLL!$A$8:$S$59</definedName>
  </definedNames>
  <calcPr calcId="124519"/>
  <pivotCaches>
    <pivotCache cacheId="4" r:id="rId6"/>
    <pivotCache cacheId="5" r:id="rId7"/>
  </pivotCaches>
</workbook>
</file>

<file path=xl/calcChain.xml><?xml version="1.0" encoding="utf-8"?>
<calcChain xmlns="http://schemas.openxmlformats.org/spreadsheetml/2006/main">
  <c r="I12" i="1"/>
  <c r="O51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2"/>
  <c r="O53"/>
  <c r="O54"/>
  <c r="O55"/>
  <c r="O56"/>
  <c r="O57"/>
  <c r="O58"/>
  <c r="O59"/>
  <c r="O9"/>
  <c r="K9"/>
  <c r="L9" s="1"/>
  <c r="K10"/>
  <c r="L10" s="1"/>
  <c r="K11"/>
  <c r="L11" s="1"/>
  <c r="K12"/>
  <c r="L12" s="1"/>
  <c r="K13"/>
  <c r="L13" s="1"/>
  <c r="K14"/>
  <c r="L14" s="1"/>
  <c r="K15"/>
  <c r="L15" s="1"/>
  <c r="K16"/>
  <c r="L16" s="1"/>
  <c r="K17"/>
  <c r="L17" s="1"/>
  <c r="K18"/>
  <c r="L18" s="1"/>
  <c r="K19"/>
  <c r="L19" s="1"/>
  <c r="K20"/>
  <c r="L20" s="1"/>
  <c r="K21"/>
  <c r="L21" s="1"/>
  <c r="K22"/>
  <c r="L22" s="1"/>
  <c r="K23"/>
  <c r="L23" s="1"/>
  <c r="K24"/>
  <c r="L24" s="1"/>
  <c r="K25"/>
  <c r="L25" s="1"/>
  <c r="K26"/>
  <c r="L26" s="1"/>
  <c r="K27"/>
  <c r="L27" s="1"/>
  <c r="K28"/>
  <c r="L28" s="1"/>
  <c r="K29"/>
  <c r="L29" s="1"/>
  <c r="K30"/>
  <c r="L30" s="1"/>
  <c r="K31"/>
  <c r="L31" s="1"/>
  <c r="K32"/>
  <c r="L32" s="1"/>
  <c r="K33"/>
  <c r="L33" s="1"/>
  <c r="K34"/>
  <c r="L34" s="1"/>
  <c r="K35"/>
  <c r="L35" s="1"/>
  <c r="K36"/>
  <c r="L36" s="1"/>
  <c r="K37"/>
  <c r="L37" s="1"/>
  <c r="K38"/>
  <c r="L38" s="1"/>
  <c r="K39"/>
  <c r="L39" s="1"/>
  <c r="K40"/>
  <c r="L40" s="1"/>
  <c r="K41"/>
  <c r="L41" s="1"/>
  <c r="K42"/>
  <c r="L42" s="1"/>
  <c r="K43"/>
  <c r="L43" s="1"/>
  <c r="K44"/>
  <c r="L44" s="1"/>
  <c r="K45"/>
  <c r="L45" s="1"/>
  <c r="K46"/>
  <c r="L46" s="1"/>
  <c r="K47"/>
  <c r="L47" s="1"/>
  <c r="K48"/>
  <c r="L48" s="1"/>
  <c r="K49"/>
  <c r="L49" s="1"/>
  <c r="K50"/>
  <c r="L50" s="1"/>
  <c r="K51"/>
  <c r="L51" s="1"/>
  <c r="K52"/>
  <c r="L52" s="1"/>
  <c r="K53"/>
  <c r="L53" s="1"/>
  <c r="K54"/>
  <c r="L54" s="1"/>
  <c r="K55"/>
  <c r="L55" s="1"/>
  <c r="K56"/>
  <c r="L56" s="1"/>
  <c r="K57"/>
  <c r="L57" s="1"/>
  <c r="K58"/>
  <c r="L58" s="1"/>
  <c r="K59"/>
  <c r="L59" s="1"/>
  <c r="I10"/>
  <c r="I11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9"/>
  <c r="H10"/>
  <c r="Q10" s="1"/>
  <c r="H11"/>
  <c r="Q11" s="1"/>
  <c r="H12"/>
  <c r="M12" s="1"/>
  <c r="H13"/>
  <c r="Q13" s="1"/>
  <c r="H14"/>
  <c r="M14" s="1"/>
  <c r="H15"/>
  <c r="Q15" s="1"/>
  <c r="H16"/>
  <c r="M16" s="1"/>
  <c r="H17"/>
  <c r="Q17" s="1"/>
  <c r="H18"/>
  <c r="M18" s="1"/>
  <c r="H19"/>
  <c r="Q19" s="1"/>
  <c r="H20"/>
  <c r="M20" s="1"/>
  <c r="H21"/>
  <c r="Q21" s="1"/>
  <c r="H22"/>
  <c r="M22" s="1"/>
  <c r="H23"/>
  <c r="Q23" s="1"/>
  <c r="H24"/>
  <c r="M24" s="1"/>
  <c r="H25"/>
  <c r="Q25" s="1"/>
  <c r="H26"/>
  <c r="M26" s="1"/>
  <c r="H27"/>
  <c r="Q27" s="1"/>
  <c r="H28"/>
  <c r="M28" s="1"/>
  <c r="H29"/>
  <c r="Q29" s="1"/>
  <c r="H30"/>
  <c r="M30" s="1"/>
  <c r="H31"/>
  <c r="Q31" s="1"/>
  <c r="H32"/>
  <c r="M32" s="1"/>
  <c r="H33"/>
  <c r="Q33" s="1"/>
  <c r="H34"/>
  <c r="M34" s="1"/>
  <c r="H35"/>
  <c r="Q35" s="1"/>
  <c r="H36"/>
  <c r="M36" s="1"/>
  <c r="H37"/>
  <c r="Q37" s="1"/>
  <c r="H38"/>
  <c r="M38" s="1"/>
  <c r="H39"/>
  <c r="Q39" s="1"/>
  <c r="H40"/>
  <c r="M40" s="1"/>
  <c r="H41"/>
  <c r="Q41" s="1"/>
  <c r="H42"/>
  <c r="Q42" s="1"/>
  <c r="H43"/>
  <c r="Q43" s="1"/>
  <c r="H44"/>
  <c r="M44" s="1"/>
  <c r="H45"/>
  <c r="Q45" s="1"/>
  <c r="H46"/>
  <c r="Q46" s="1"/>
  <c r="H47"/>
  <c r="Q47" s="1"/>
  <c r="H48"/>
  <c r="M48" s="1"/>
  <c r="H49"/>
  <c r="Q49" s="1"/>
  <c r="H50"/>
  <c r="M50" s="1"/>
  <c r="H51"/>
  <c r="Q51" s="1"/>
  <c r="H52"/>
  <c r="M52" s="1"/>
  <c r="H53"/>
  <c r="Q53" s="1"/>
  <c r="H54"/>
  <c r="M54" s="1"/>
  <c r="H55"/>
  <c r="Q55" s="1"/>
  <c r="H56"/>
  <c r="M56" s="1"/>
  <c r="H57"/>
  <c r="Q57" s="1"/>
  <c r="H58"/>
  <c r="M58" s="1"/>
  <c r="H59"/>
  <c r="Q59" s="1"/>
  <c r="H9"/>
  <c r="Q9" s="1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9"/>
  <c r="M49" l="1"/>
  <c r="P49" s="1"/>
  <c r="S49" s="1"/>
  <c r="M17"/>
  <c r="P17" s="1"/>
  <c r="S17" s="1"/>
  <c r="M57"/>
  <c r="M25"/>
  <c r="P25" s="1"/>
  <c r="S25" s="1"/>
  <c r="M33"/>
  <c r="P33" s="1"/>
  <c r="S33" s="1"/>
  <c r="M41"/>
  <c r="P56"/>
  <c r="P52"/>
  <c r="P48"/>
  <c r="P44"/>
  <c r="P40"/>
  <c r="P36"/>
  <c r="P32"/>
  <c r="P28"/>
  <c r="P24"/>
  <c r="P20"/>
  <c r="P16"/>
  <c r="P12"/>
  <c r="M9"/>
  <c r="P9" s="1"/>
  <c r="S9" s="1"/>
  <c r="M45"/>
  <c r="P45" s="1"/>
  <c r="S45" s="1"/>
  <c r="M29"/>
  <c r="P29" s="1"/>
  <c r="S29" s="1"/>
  <c r="M13"/>
  <c r="P13" s="1"/>
  <c r="S13" s="1"/>
  <c r="P57"/>
  <c r="S57" s="1"/>
  <c r="P41"/>
  <c r="S41" s="1"/>
  <c r="P58"/>
  <c r="P54"/>
  <c r="P50"/>
  <c r="P38"/>
  <c r="P34"/>
  <c r="P30"/>
  <c r="P26"/>
  <c r="P22"/>
  <c r="P18"/>
  <c r="P14"/>
  <c r="M53"/>
  <c r="P53" s="1"/>
  <c r="S53" s="1"/>
  <c r="M37"/>
  <c r="P37" s="1"/>
  <c r="S37" s="1"/>
  <c r="M21"/>
  <c r="P21" s="1"/>
  <c r="S21" s="1"/>
  <c r="M42"/>
  <c r="P42" s="1"/>
  <c r="S42" s="1"/>
  <c r="M59"/>
  <c r="P59" s="1"/>
  <c r="S59" s="1"/>
  <c r="M55"/>
  <c r="P55" s="1"/>
  <c r="S55" s="1"/>
  <c r="M51"/>
  <c r="P51" s="1"/>
  <c r="S51" s="1"/>
  <c r="M47"/>
  <c r="P47" s="1"/>
  <c r="S47" s="1"/>
  <c r="M43"/>
  <c r="P43" s="1"/>
  <c r="S43" s="1"/>
  <c r="M39"/>
  <c r="P39" s="1"/>
  <c r="S39" s="1"/>
  <c r="M35"/>
  <c r="P35" s="1"/>
  <c r="S35" s="1"/>
  <c r="M31"/>
  <c r="P31" s="1"/>
  <c r="S31" s="1"/>
  <c r="M27"/>
  <c r="P27" s="1"/>
  <c r="S27" s="1"/>
  <c r="M23"/>
  <c r="P23" s="1"/>
  <c r="S23" s="1"/>
  <c r="M19"/>
  <c r="P19" s="1"/>
  <c r="S19" s="1"/>
  <c r="M15"/>
  <c r="P15" s="1"/>
  <c r="S15" s="1"/>
  <c r="M11"/>
  <c r="P11" s="1"/>
  <c r="S11" s="1"/>
  <c r="Q56"/>
  <c r="Q52"/>
  <c r="Q48"/>
  <c r="Q44"/>
  <c r="Q40"/>
  <c r="Q36"/>
  <c r="Q32"/>
  <c r="Q28"/>
  <c r="Q24"/>
  <c r="Q20"/>
  <c r="Q16"/>
  <c r="Q12"/>
  <c r="M46"/>
  <c r="P46" s="1"/>
  <c r="S46" s="1"/>
  <c r="M10"/>
  <c r="P10" s="1"/>
  <c r="S10" s="1"/>
  <c r="Q58"/>
  <c r="Q54"/>
  <c r="Q50"/>
  <c r="Q38"/>
  <c r="Q34"/>
  <c r="Q30"/>
  <c r="Q26"/>
  <c r="Q22"/>
  <c r="Q18"/>
  <c r="Q14"/>
  <c r="S18" l="1"/>
  <c r="S34"/>
  <c r="S58"/>
  <c r="S16"/>
  <c r="S32"/>
  <c r="S48"/>
  <c r="S14"/>
  <c r="S30"/>
  <c r="S54"/>
  <c r="S12"/>
  <c r="S28"/>
  <c r="S44"/>
  <c r="S26"/>
  <c r="S50"/>
  <c r="S24"/>
  <c r="S40"/>
  <c r="S56"/>
  <c r="S22"/>
  <c r="S38"/>
  <c r="S20"/>
  <c r="S36"/>
  <c r="S52"/>
</calcChain>
</file>

<file path=xl/sharedStrings.xml><?xml version="1.0" encoding="utf-8"?>
<sst xmlns="http://schemas.openxmlformats.org/spreadsheetml/2006/main" count="462" uniqueCount="159">
  <si>
    <t>OVERTIME HOURS</t>
  </si>
  <si>
    <t>OVERTIME SALARY</t>
  </si>
  <si>
    <t>GROSS SALARY</t>
  </si>
  <si>
    <t>NAME</t>
  </si>
  <si>
    <t>FATHER'S NAME</t>
  </si>
  <si>
    <t>BASIC SALARY</t>
  </si>
  <si>
    <t xml:space="preserve">AMAN </t>
  </si>
  <si>
    <t>TAMAN</t>
  </si>
  <si>
    <t>WARAN</t>
  </si>
  <si>
    <t>PURAT</t>
  </si>
  <si>
    <t>SANDY</t>
  </si>
  <si>
    <t>CHUPTU</t>
  </si>
  <si>
    <t>ROACK</t>
  </si>
  <si>
    <t>RESW</t>
  </si>
  <si>
    <t>TUIST</t>
  </si>
  <si>
    <t>LOIP</t>
  </si>
  <si>
    <t>JIOK</t>
  </si>
  <si>
    <t>JOLI</t>
  </si>
  <si>
    <t>GION</t>
  </si>
  <si>
    <t>MIUS</t>
  </si>
  <si>
    <t>RESTEW</t>
  </si>
  <si>
    <t>FENDI</t>
  </si>
  <si>
    <t>HENKER</t>
  </si>
  <si>
    <t>PF (12%)</t>
  </si>
  <si>
    <t>alpha</t>
  </si>
  <si>
    <t>beta</t>
  </si>
  <si>
    <t>gama</t>
  </si>
  <si>
    <t>TESHOKA</t>
  </si>
  <si>
    <t>TERANK</t>
  </si>
  <si>
    <t>OIUY</t>
  </si>
  <si>
    <t>TYERI</t>
  </si>
  <si>
    <t>JUNSTI</t>
  </si>
  <si>
    <t>HUNK</t>
  </si>
  <si>
    <t>IONW</t>
  </si>
  <si>
    <t>ERT</t>
  </si>
  <si>
    <t>YUIO</t>
  </si>
  <si>
    <t>POIJ</t>
  </si>
  <si>
    <t>KLPM</t>
  </si>
  <si>
    <t>RENS</t>
  </si>
  <si>
    <t>TERN</t>
  </si>
  <si>
    <t>UYSTEN</t>
  </si>
  <si>
    <t>ASTO</t>
  </si>
  <si>
    <t>NIKO</t>
  </si>
  <si>
    <t>LIMO</t>
  </si>
  <si>
    <t>LINP</t>
  </si>
  <si>
    <t>KINO</t>
  </si>
  <si>
    <t>FERO</t>
  </si>
  <si>
    <t>GUVE</t>
  </si>
  <si>
    <t>GHIT</t>
  </si>
  <si>
    <t>JIKL</t>
  </si>
  <si>
    <t>SDERT</t>
  </si>
  <si>
    <t>CBNM</t>
  </si>
  <si>
    <t>HENR</t>
  </si>
  <si>
    <t>GUET</t>
  </si>
  <si>
    <t>HIM</t>
  </si>
  <si>
    <t>HIS</t>
  </si>
  <si>
    <t>DICTO</t>
  </si>
  <si>
    <t>PONDS</t>
  </si>
  <si>
    <t>TERSI</t>
  </si>
  <si>
    <t>WAMP</t>
  </si>
  <si>
    <t>DESHRAJ</t>
  </si>
  <si>
    <t>RAM</t>
  </si>
  <si>
    <t>SHYAM</t>
  </si>
  <si>
    <t>INDER</t>
  </si>
  <si>
    <t>PAVOR</t>
  </si>
  <si>
    <t>TORA</t>
  </si>
  <si>
    <t>MORA</t>
  </si>
  <si>
    <t>RORO</t>
  </si>
  <si>
    <t>SANDI</t>
  </si>
  <si>
    <t>TIUSH</t>
  </si>
  <si>
    <t>PONTI</t>
  </si>
  <si>
    <t>KIOTI</t>
  </si>
  <si>
    <t>ESTER</t>
  </si>
  <si>
    <t>WEST</t>
  </si>
  <si>
    <t>DESTER</t>
  </si>
  <si>
    <t>GRUND</t>
  </si>
  <si>
    <t>KIOSH</t>
  </si>
  <si>
    <t>KIMER</t>
  </si>
  <si>
    <t>STICKER</t>
  </si>
  <si>
    <t>PONTU</t>
  </si>
  <si>
    <t>MANTI</t>
  </si>
  <si>
    <t>WOANR</t>
  </si>
  <si>
    <t>KTER</t>
  </si>
  <si>
    <t>GERT</t>
  </si>
  <si>
    <t>KERT</t>
  </si>
  <si>
    <t>FERT</t>
  </si>
  <si>
    <t>DERT</t>
  </si>
  <si>
    <t>NERT</t>
  </si>
  <si>
    <t>LERTIOS</t>
  </si>
  <si>
    <t>HAPY</t>
  </si>
  <si>
    <t>HANGER</t>
  </si>
  <si>
    <t>LIOP</t>
  </si>
  <si>
    <t>DESWR</t>
  </si>
  <si>
    <t>HEMER</t>
  </si>
  <si>
    <t>KEMRT</t>
  </si>
  <si>
    <t>HERTY</t>
  </si>
  <si>
    <t>KERTI</t>
  </si>
  <si>
    <t>ASTRE</t>
  </si>
  <si>
    <t>KESTRE</t>
  </si>
  <si>
    <t>JBGII</t>
  </si>
  <si>
    <t>SDJJB</t>
  </si>
  <si>
    <t>NKNI</t>
  </si>
  <si>
    <t>KIOSN</t>
  </si>
  <si>
    <t>JBTHU</t>
  </si>
  <si>
    <t>HGYU</t>
  </si>
  <si>
    <t>NBKC</t>
  </si>
  <si>
    <t>KJBU</t>
  </si>
  <si>
    <t>FBGHY</t>
  </si>
  <si>
    <t>EJG</t>
  </si>
  <si>
    <t>DEPARTMENT</t>
  </si>
  <si>
    <t>EMP ID</t>
  </si>
  <si>
    <t>LEAVES</t>
  </si>
  <si>
    <t>HRA (40%)</t>
  </si>
  <si>
    <t>DA (10%)</t>
  </si>
  <si>
    <t>CONVEYANCE (5%)</t>
  </si>
  <si>
    <t>RATE/HR</t>
  </si>
  <si>
    <t>BONUS( 15%)</t>
  </si>
  <si>
    <t>DEDUCTIONS FOR LEAVES</t>
  </si>
  <si>
    <t xml:space="preserve">NET SALARY </t>
  </si>
  <si>
    <t xml:space="preserve">MEDICLAIM (500) </t>
  </si>
  <si>
    <t>ACCOUNT NUMBER</t>
  </si>
  <si>
    <t>Sum of BONUS( 15%)</t>
  </si>
  <si>
    <t>Values</t>
  </si>
  <si>
    <t xml:space="preserve">Sum of NET SALARY </t>
  </si>
  <si>
    <t>(All)</t>
  </si>
  <si>
    <t>Sum of HRA (40%)</t>
  </si>
  <si>
    <t>Sum of DA (10%)</t>
  </si>
  <si>
    <t>Sum of CONVEYANCE (5%)</t>
  </si>
  <si>
    <t>Sum of OVERTIME SALARY</t>
  </si>
  <si>
    <t>Sum of PF (12%)</t>
  </si>
  <si>
    <t>Grand Total</t>
  </si>
  <si>
    <t>Sum of LEAVES</t>
  </si>
  <si>
    <t xml:space="preserve">Sum of MEDICLAIM (500) </t>
  </si>
  <si>
    <t>CONCLUSIONS</t>
  </si>
  <si>
    <t xml:space="preserve">VERTEX TECHNOLOGIES PVT. LTD </t>
  </si>
  <si>
    <t>FILTERS</t>
  </si>
  <si>
    <t>Row Labels</t>
  </si>
  <si>
    <t xml:space="preserve">Sum of Sum of NET SALARY </t>
  </si>
  <si>
    <t>Sum of Sum of BONUS( 15%)</t>
  </si>
  <si>
    <t>Sum of Sum of OVERTIME SALARY</t>
  </si>
  <si>
    <t>1. alpha department has highest net salary contribution and highest overtime hours and salary</t>
  </si>
  <si>
    <t>INSIGHTS</t>
  </si>
  <si>
    <t>TOTAL BONUS</t>
  </si>
  <si>
    <t>TOTAL EMPLOYEES</t>
  </si>
  <si>
    <t>186 DAYS</t>
  </si>
  <si>
    <t>2. beta department has lowest overtime</t>
  </si>
  <si>
    <t>3. gama department has the highest leave count; recommended investgating staffing levels or burnout</t>
  </si>
  <si>
    <t xml:space="preserve">HR PAYROLL DASHBOARD </t>
  </si>
  <si>
    <t>HR  PAYROLL  DASHBOARD FOR JANUARY 2026</t>
  </si>
  <si>
    <t>TOTAL LEAVE</t>
  </si>
  <si>
    <t>AVERAGE SALARY</t>
  </si>
  <si>
    <t>Sum of BASIC SALARY</t>
  </si>
  <si>
    <t>Sum of OVERTIME HOURS</t>
  </si>
  <si>
    <t>TOTAL NET SALARY</t>
  </si>
  <si>
    <t>TOTAL OVERTIME HOURS</t>
  </si>
  <si>
    <t>486 HOURS</t>
  </si>
  <si>
    <t>VERTEX TECHNOLOGIES PVT. LTD</t>
  </si>
  <si>
    <t>SALARY SLIP OF JANUARY 2026</t>
  </si>
  <si>
    <t xml:space="preserve">4. overtime hours are higher in alpha dept and the costs are 15% higher in alpha ; consider shifting budget from bonuses to new hires </t>
  </si>
</sst>
</file>

<file path=xl/styles.xml><?xml version="1.0" encoding="utf-8"?>
<styleSheet xmlns="http://schemas.openxmlformats.org/spreadsheetml/2006/main">
  <numFmts count="10">
    <numFmt numFmtId="8" formatCode="&quot;₹&quot;\ #,##0.00;[Red]&quot;₹&quot;\ \-#,##0.00"/>
    <numFmt numFmtId="42" formatCode="_ &quot;₹&quot;\ * #,##0_ ;_ &quot;₹&quot;\ * \-#,##0_ ;_ &quot;₹&quot;\ * &quot;-&quot;_ ;_ @_ "/>
    <numFmt numFmtId="44" formatCode="_ &quot;₹&quot;\ * #,##0.00_ ;_ &quot;₹&quot;\ * \-#,##0.00_ ;_ &quot;₹&quot;\ * &quot;-&quot;??_ ;_ @_ "/>
    <numFmt numFmtId="164" formatCode="#&quot;hrs&quot;"/>
    <numFmt numFmtId="165" formatCode="&quot;₹&quot;\ #,##0"/>
    <numFmt numFmtId="166" formatCode="&quot;₹&quot;\ #,##0.00"/>
    <numFmt numFmtId="167" formatCode="#\ &quot;DAYS&quot;"/>
    <numFmt numFmtId="168" formatCode="#,##0.00_ ;[Red]\-#,##0.00\ "/>
    <numFmt numFmtId="169" formatCode="#\ &quot;days&quot;"/>
    <numFmt numFmtId="170" formatCode="#\ &quot;HRS&quot;"/>
  </numFmts>
  <fonts count="2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theme="1"/>
      <name val="Cambria"/>
      <family val="2"/>
      <scheme val="major"/>
    </font>
    <font>
      <sz val="24"/>
      <color theme="1"/>
      <name val="Britannic Bold"/>
      <family val="2"/>
    </font>
    <font>
      <b/>
      <sz val="11"/>
      <color theme="1" tint="4.9989318521683403E-2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Arial Unicode MS"/>
      <family val="2"/>
    </font>
    <font>
      <sz val="14"/>
      <color rgb="FFFF0000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sz val="24"/>
      <color theme="1"/>
      <name val="Bahnschrift Condensed"/>
      <family val="2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Arial Unicode MS"/>
      <family val="2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3DADB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4" borderId="0" applyNumberFormat="0" applyBorder="0" applyAlignment="0" applyProtection="0"/>
  </cellStyleXfs>
  <cellXfs count="143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0" borderId="0" xfId="0" applyFont="1" applyAlignment="1">
      <alignment horizontal="left"/>
    </xf>
    <xf numFmtId="0" fontId="0" fillId="0" borderId="0" xfId="0" applyFont="1"/>
    <xf numFmtId="166" fontId="0" fillId="0" borderId="1" xfId="0" applyNumberFormat="1" applyBorder="1"/>
    <xf numFmtId="166" fontId="0" fillId="0" borderId="0" xfId="0" applyNumberFormat="1"/>
    <xf numFmtId="167" fontId="0" fillId="0" borderId="1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8" fontId="1" fillId="0" borderId="1" xfId="0" applyNumberFormat="1" applyFont="1" applyBorder="1"/>
    <xf numFmtId="0" fontId="0" fillId="0" borderId="1" xfId="0" applyFont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7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/>
    <xf numFmtId="166" fontId="1" fillId="0" borderId="1" xfId="0" applyNumberFormat="1" applyFont="1" applyBorder="1"/>
    <xf numFmtId="166" fontId="3" fillId="3" borderId="0" xfId="0" applyNumberFormat="1" applyFont="1" applyFill="1"/>
    <xf numFmtId="165" fontId="0" fillId="0" borderId="0" xfId="0" applyNumberFormat="1" applyBorder="1"/>
    <xf numFmtId="166" fontId="0" fillId="0" borderId="0" xfId="0" applyNumberFormat="1" applyBorder="1"/>
    <xf numFmtId="166" fontId="1" fillId="0" borderId="0" xfId="0" applyNumberFormat="1" applyFont="1" applyBorder="1"/>
    <xf numFmtId="0" fontId="0" fillId="0" borderId="0" xfId="0" applyBorder="1"/>
    <xf numFmtId="166" fontId="3" fillId="7" borderId="0" xfId="0" applyNumberFormat="1" applyFont="1" applyFill="1" applyBorder="1"/>
    <xf numFmtId="166" fontId="3" fillId="7" borderId="0" xfId="0" applyNumberFormat="1" applyFont="1" applyFill="1"/>
    <xf numFmtId="166" fontId="3" fillId="0" borderId="0" xfId="0" applyNumberFormat="1" applyFont="1" applyFill="1" applyBorder="1"/>
    <xf numFmtId="166" fontId="7" fillId="5" borderId="1" xfId="0" applyNumberFormat="1" applyFont="1" applyFill="1" applyBorder="1"/>
    <xf numFmtId="0" fontId="6" fillId="2" borderId="1" xfId="2" applyFont="1" applyFill="1" applyBorder="1" applyAlignment="1">
      <alignment vertical="center" wrapText="1"/>
    </xf>
    <xf numFmtId="166" fontId="6" fillId="2" borderId="1" xfId="2" applyNumberFormat="1" applyFont="1" applyFill="1" applyBorder="1" applyAlignment="1">
      <alignment vertical="center" wrapText="1"/>
    </xf>
    <xf numFmtId="167" fontId="6" fillId="2" borderId="1" xfId="2" applyNumberFormat="1" applyFont="1" applyFill="1" applyBorder="1" applyAlignment="1">
      <alignment horizontal="center" vertical="center" wrapText="1"/>
    </xf>
    <xf numFmtId="168" fontId="6" fillId="2" borderId="1" xfId="2" applyNumberFormat="1" applyFont="1" applyFill="1" applyBorder="1" applyAlignment="1">
      <alignment vertical="center" wrapText="1"/>
    </xf>
    <xf numFmtId="0" fontId="0" fillId="2" borderId="0" xfId="0" applyFill="1"/>
    <xf numFmtId="0" fontId="0" fillId="0" borderId="0" xfId="0" applyFill="1"/>
    <xf numFmtId="0" fontId="0" fillId="0" borderId="0" xfId="0"/>
    <xf numFmtId="0" fontId="0" fillId="0" borderId="0" xfId="0"/>
    <xf numFmtId="0" fontId="0" fillId="0" borderId="0" xfId="0" applyNumberFormat="1"/>
    <xf numFmtId="0" fontId="9" fillId="8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/>
    <xf numFmtId="0" fontId="0" fillId="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10" fillId="6" borderId="13" xfId="0" applyFont="1" applyFill="1" applyBorder="1"/>
    <xf numFmtId="0" fontId="10" fillId="6" borderId="15" xfId="0" applyFont="1" applyFill="1" applyBorder="1"/>
    <xf numFmtId="0" fontId="10" fillId="6" borderId="14" xfId="0" applyFont="1" applyFill="1" applyBorder="1"/>
    <xf numFmtId="0" fontId="7" fillId="0" borderId="1" xfId="0" applyFont="1" applyBorder="1"/>
    <xf numFmtId="169" fontId="7" fillId="0" borderId="1" xfId="0" applyNumberFormat="1" applyFont="1" applyBorder="1"/>
    <xf numFmtId="0" fontId="17" fillId="0" borderId="3" xfId="0" applyFont="1" applyFill="1" applyBorder="1" applyAlignment="1"/>
    <xf numFmtId="169" fontId="13" fillId="0" borderId="1" xfId="0" applyNumberFormat="1" applyFont="1" applyBorder="1"/>
    <xf numFmtId="0" fontId="11" fillId="9" borderId="1" xfId="0" applyFont="1" applyFill="1" applyBorder="1"/>
    <xf numFmtId="42" fontId="13" fillId="0" borderId="1" xfId="0" applyNumberFormat="1" applyFont="1" applyBorder="1"/>
    <xf numFmtId="42" fontId="7" fillId="0" borderId="1" xfId="0" applyNumberFormat="1" applyFont="1" applyBorder="1"/>
    <xf numFmtId="0" fontId="0" fillId="0" borderId="0" xfId="0"/>
    <xf numFmtId="0" fontId="10" fillId="6" borderId="1" xfId="0" applyFont="1" applyFill="1" applyBorder="1"/>
    <xf numFmtId="0" fontId="7" fillId="0" borderId="18" xfId="0" applyFont="1" applyBorder="1"/>
    <xf numFmtId="0" fontId="7" fillId="0" borderId="19" xfId="0" applyFont="1" applyBorder="1"/>
    <xf numFmtId="0" fontId="14" fillId="6" borderId="1" xfId="0" applyFont="1" applyFill="1" applyBorder="1"/>
    <xf numFmtId="42" fontId="16" fillId="0" borderId="18" xfId="0" applyNumberFormat="1" applyFont="1" applyFill="1" applyBorder="1"/>
    <xf numFmtId="169" fontId="16" fillId="0" borderId="18" xfId="0" applyNumberFormat="1" applyFont="1" applyFill="1" applyBorder="1"/>
    <xf numFmtId="0" fontId="7" fillId="0" borderId="18" xfId="0" applyFont="1" applyFill="1" applyBorder="1"/>
    <xf numFmtId="0" fontId="11" fillId="9" borderId="20" xfId="0" applyFont="1" applyFill="1" applyBorder="1"/>
    <xf numFmtId="0" fontId="11" fillId="9" borderId="18" xfId="0" applyFont="1" applyFill="1" applyBorder="1"/>
    <xf numFmtId="0" fontId="7" fillId="0" borderId="17" xfId="0" applyFont="1" applyFill="1" applyBorder="1" applyAlignment="1">
      <alignment vertical="center" wrapText="1"/>
    </xf>
    <xf numFmtId="0" fontId="7" fillId="0" borderId="0" xfId="0" applyFont="1" applyAlignment="1">
      <alignment horizontal="center"/>
    </xf>
    <xf numFmtId="0" fontId="7" fillId="0" borderId="17" xfId="0" applyFont="1" applyFill="1" applyBorder="1" applyAlignment="1">
      <alignment horizontal="center" wrapText="1"/>
    </xf>
    <xf numFmtId="0" fontId="7" fillId="0" borderId="17" xfId="0" applyFont="1" applyFill="1" applyBorder="1" applyAlignment="1">
      <alignment horizontal="center"/>
    </xf>
    <xf numFmtId="0" fontId="0" fillId="0" borderId="10" xfId="0" applyBorder="1"/>
    <xf numFmtId="0" fontId="12" fillId="0" borderId="0" xfId="0" applyFont="1" applyFill="1" applyBorder="1"/>
    <xf numFmtId="44" fontId="12" fillId="0" borderId="0" xfId="0" applyNumberFormat="1" applyFont="1" applyFill="1" applyBorder="1" applyAlignment="1">
      <alignment horizontal="right"/>
    </xf>
    <xf numFmtId="44" fontId="7" fillId="0" borderId="1" xfId="0" applyNumberFormat="1" applyFont="1" applyBorder="1"/>
    <xf numFmtId="170" fontId="7" fillId="0" borderId="1" xfId="0" applyNumberFormat="1" applyFont="1" applyBorder="1"/>
    <xf numFmtId="170" fontId="16" fillId="0" borderId="18" xfId="0" applyNumberFormat="1" applyFont="1" applyFill="1" applyBorder="1"/>
    <xf numFmtId="44" fontId="16" fillId="0" borderId="18" xfId="0" applyNumberFormat="1" applyFont="1" applyFill="1" applyBorder="1"/>
    <xf numFmtId="44" fontId="13" fillId="0" borderId="1" xfId="0" applyNumberFormat="1" applyFont="1" applyBorder="1"/>
    <xf numFmtId="170" fontId="13" fillId="0" borderId="1" xfId="0" applyNumberFormat="1" applyFont="1" applyBorder="1"/>
    <xf numFmtId="44" fontId="6" fillId="6" borderId="1" xfId="0" applyNumberFormat="1" applyFont="1" applyFill="1" applyBorder="1"/>
    <xf numFmtId="44" fontId="21" fillId="6" borderId="1" xfId="0" applyNumberFormat="1" applyFont="1" applyFill="1" applyBorder="1"/>
    <xf numFmtId="44" fontId="21" fillId="6" borderId="1" xfId="0" applyNumberFormat="1" applyFont="1" applyFill="1" applyBorder="1" applyAlignment="1">
      <alignment horizontal="right"/>
    </xf>
    <xf numFmtId="44" fontId="6" fillId="6" borderId="1" xfId="0" applyNumberFormat="1" applyFont="1" applyFill="1" applyBorder="1" applyAlignment="1">
      <alignment horizontal="right"/>
    </xf>
    <xf numFmtId="0" fontId="6" fillId="6" borderId="1" xfId="0" applyNumberFormat="1" applyFont="1" applyFill="1" applyBorder="1"/>
    <xf numFmtId="0" fontId="6" fillId="5" borderId="1" xfId="0" applyFont="1" applyFill="1" applyBorder="1"/>
    <xf numFmtId="0" fontId="21" fillId="5" borderId="1" xfId="0" applyFont="1" applyFill="1" applyBorder="1"/>
    <xf numFmtId="44" fontId="21" fillId="5" borderId="1" xfId="0" applyNumberFormat="1" applyFon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0" fillId="0" borderId="8" xfId="0" applyBorder="1" applyAlignment="1"/>
    <xf numFmtId="0" fontId="0" fillId="0" borderId="6" xfId="0" applyBorder="1" applyAlignment="1"/>
    <xf numFmtId="0" fontId="22" fillId="0" borderId="0" xfId="0" applyFont="1"/>
    <xf numFmtId="0" fontId="8" fillId="7" borderId="0" xfId="1" applyFont="1" applyFill="1" applyBorder="1" applyAlignment="1">
      <alignment vertical="center"/>
    </xf>
    <xf numFmtId="0" fontId="0" fillId="7" borderId="0" xfId="0" applyFill="1"/>
    <xf numFmtId="0" fontId="24" fillId="10" borderId="2" xfId="0" applyFont="1" applyFill="1" applyBorder="1" applyAlignment="1">
      <alignment horizontal="center"/>
    </xf>
    <xf numFmtId="0" fontId="24" fillId="10" borderId="3" xfId="0" applyFont="1" applyFill="1" applyBorder="1" applyAlignment="1">
      <alignment horizontal="center"/>
    </xf>
    <xf numFmtId="0" fontId="24" fillId="10" borderId="4" xfId="0" applyFont="1" applyFill="1" applyBorder="1" applyAlignment="1">
      <alignment horizontal="center"/>
    </xf>
    <xf numFmtId="0" fontId="2" fillId="5" borderId="10" xfId="0" applyFont="1" applyFill="1" applyBorder="1" applyAlignment="1"/>
    <xf numFmtId="0" fontId="2" fillId="5" borderId="0" xfId="0" applyFont="1" applyFill="1" applyBorder="1" applyAlignment="1"/>
    <xf numFmtId="0" fontId="2" fillId="5" borderId="11" xfId="0" applyFont="1" applyFill="1" applyBorder="1" applyAlignment="1"/>
    <xf numFmtId="0" fontId="2" fillId="5" borderId="10" xfId="0" applyFont="1" applyFill="1" applyBorder="1"/>
    <xf numFmtId="0" fontId="2" fillId="5" borderId="0" xfId="0" applyFont="1" applyFill="1" applyBorder="1"/>
    <xf numFmtId="0" fontId="2" fillId="5" borderId="11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19" fillId="0" borderId="5" xfId="0" applyFont="1" applyFill="1" applyBorder="1"/>
    <xf numFmtId="0" fontId="19" fillId="0" borderId="6" xfId="0" applyFont="1" applyFill="1" applyBorder="1"/>
    <xf numFmtId="0" fontId="19" fillId="0" borderId="7" xfId="0" applyFont="1" applyFill="1" applyBorder="1"/>
    <xf numFmtId="0" fontId="2" fillId="0" borderId="10" xfId="0" applyFont="1" applyFill="1" applyBorder="1" applyAlignment="1"/>
    <xf numFmtId="0" fontId="2" fillId="0" borderId="0" xfId="0" applyFont="1" applyFill="1" applyBorder="1" applyAlignment="1"/>
    <xf numFmtId="0" fontId="2" fillId="0" borderId="11" xfId="0" applyFont="1" applyFill="1" applyBorder="1" applyAlignment="1"/>
    <xf numFmtId="0" fontId="20" fillId="0" borderId="2" xfId="0" applyFont="1" applyFill="1" applyBorder="1" applyAlignment="1">
      <alignment horizontal="center"/>
    </xf>
    <xf numFmtId="0" fontId="20" fillId="0" borderId="3" xfId="0" applyFont="1" applyFill="1" applyBorder="1" applyAlignment="1">
      <alignment horizontal="center"/>
    </xf>
    <xf numFmtId="0" fontId="20" fillId="0" borderId="4" xfId="0" applyFont="1" applyFill="1" applyBorder="1" applyAlignment="1">
      <alignment horizontal="center"/>
    </xf>
    <xf numFmtId="0" fontId="15" fillId="6" borderId="2" xfId="0" applyFont="1" applyFill="1" applyBorder="1" applyAlignment="1">
      <alignment horizontal="center"/>
    </xf>
    <xf numFmtId="0" fontId="15" fillId="6" borderId="4" xfId="0" applyFont="1" applyFill="1" applyBorder="1" applyAlignment="1">
      <alignment horizontal="center"/>
    </xf>
    <xf numFmtId="0" fontId="9" fillId="11" borderId="0" xfId="0" applyFont="1" applyFill="1" applyBorder="1" applyAlignment="1">
      <alignment horizontal="center" vertical="top"/>
    </xf>
    <xf numFmtId="0" fontId="9" fillId="11" borderId="12" xfId="0" applyFont="1" applyFill="1" applyBorder="1" applyAlignment="1">
      <alignment horizontal="center" vertical="top"/>
    </xf>
    <xf numFmtId="0" fontId="18" fillId="6" borderId="2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18" fillId="6" borderId="6" xfId="0" applyFont="1" applyFill="1" applyBorder="1" applyAlignment="1">
      <alignment horizontal="center"/>
    </xf>
    <xf numFmtId="0" fontId="18" fillId="6" borderId="7" xfId="0" applyFont="1" applyFill="1" applyBorder="1" applyAlignment="1">
      <alignment horizontal="center"/>
    </xf>
    <xf numFmtId="0" fontId="17" fillId="0" borderId="16" xfId="0" applyFont="1" applyFill="1" applyBorder="1" applyAlignment="1">
      <alignment horizontal="center"/>
    </xf>
    <xf numFmtId="0" fontId="19" fillId="0" borderId="10" xfId="0" applyFont="1" applyFill="1" applyBorder="1"/>
    <xf numFmtId="0" fontId="19" fillId="0" borderId="0" xfId="0" applyFont="1" applyFill="1" applyBorder="1"/>
    <xf numFmtId="0" fontId="19" fillId="0" borderId="11" xfId="0" applyFont="1" applyFill="1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8" borderId="21" xfId="1" applyFont="1" applyFill="1" applyBorder="1" applyAlignment="1">
      <alignment horizontal="center" vertical="center"/>
    </xf>
    <xf numFmtId="0" fontId="8" fillId="8" borderId="16" xfId="1" applyFont="1" applyFill="1" applyBorder="1" applyAlignment="1">
      <alignment horizontal="center" vertical="center"/>
    </xf>
    <xf numFmtId="0" fontId="8" fillId="8" borderId="22" xfId="1" applyFont="1" applyFill="1" applyBorder="1" applyAlignment="1">
      <alignment horizontal="center" vertical="center"/>
    </xf>
    <xf numFmtId="0" fontId="8" fillId="8" borderId="23" xfId="1" applyFont="1" applyFill="1" applyBorder="1" applyAlignment="1">
      <alignment horizontal="center" vertical="center"/>
    </xf>
    <xf numFmtId="0" fontId="8" fillId="8" borderId="0" xfId="1" applyFont="1" applyFill="1" applyBorder="1" applyAlignment="1">
      <alignment horizontal="center" vertical="center"/>
    </xf>
    <xf numFmtId="0" fontId="8" fillId="8" borderId="24" xfId="1" applyFont="1" applyFill="1" applyBorder="1" applyAlignment="1">
      <alignment horizontal="center" vertical="center"/>
    </xf>
    <xf numFmtId="0" fontId="8" fillId="8" borderId="25" xfId="1" applyFont="1" applyFill="1" applyBorder="1" applyAlignment="1">
      <alignment horizontal="center" vertical="center"/>
    </xf>
    <xf numFmtId="0" fontId="8" fillId="8" borderId="12" xfId="1" applyFont="1" applyFill="1" applyBorder="1" applyAlignment="1">
      <alignment horizontal="center" vertical="center"/>
    </xf>
    <xf numFmtId="0" fontId="8" fillId="8" borderId="26" xfId="1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/>
    </xf>
    <xf numFmtId="0" fontId="23" fillId="6" borderId="16" xfId="0" applyFont="1" applyFill="1" applyBorder="1" applyAlignment="1">
      <alignment horizontal="center"/>
    </xf>
    <xf numFmtId="0" fontId="23" fillId="6" borderId="22" xfId="0" applyFont="1" applyFill="1" applyBorder="1" applyAlignment="1">
      <alignment horizontal="center"/>
    </xf>
    <xf numFmtId="0" fontId="23" fillId="6" borderId="25" xfId="0" applyFont="1" applyFill="1" applyBorder="1" applyAlignment="1">
      <alignment horizontal="center"/>
    </xf>
    <xf numFmtId="0" fontId="23" fillId="6" borderId="12" xfId="0" applyFont="1" applyFill="1" applyBorder="1" applyAlignment="1">
      <alignment horizontal="center"/>
    </xf>
    <xf numFmtId="0" fontId="23" fillId="6" borderId="26" xfId="0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</cellXfs>
  <cellStyles count="3">
    <cellStyle name="60% - Accent3" xfId="2" builtinId="40"/>
    <cellStyle name="Normal" xfId="0" builtinId="0"/>
    <cellStyle name="Title" xfId="1" builtinId="15"/>
  </cellStyles>
  <dxfs count="155"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numFmt numFmtId="34" formatCode="_ &quot;₹&quot;\ * #,##0.00_ ;_ &quot;₹&quot;\ * \-#,##0.00_ ;_ &quot;₹&quot;\ * &quot;-&quot;??_ ;_ @_ "/>
    </dxf>
    <dxf>
      <numFmt numFmtId="170" formatCode="#\ &quot;HRS&quot;"/>
    </dxf>
    <dxf>
      <alignment wrapText="0" readingOrder="0"/>
    </dxf>
    <dxf>
      <alignment wrapText="0" readingOrder="0"/>
    </dxf>
    <dxf>
      <alignment vertical="bottom" readingOrder="0"/>
    </dxf>
    <dxf>
      <alignment horizontal="center" readingOrder="0"/>
    </dxf>
    <dxf>
      <font>
        <sz val="14"/>
      </font>
    </dxf>
    <dxf>
      <numFmt numFmtId="32" formatCode="_ &quot;₹&quot;\ * #,##0_ ;_ &quot;₹&quot;\ * \-#,##0_ ;_ &quot;₹&quot;\ * &quot;-&quot;_ ;_ @_ "/>
    </dxf>
    <dxf>
      <numFmt numFmtId="32" formatCode="_ &quot;₹&quot;\ * #,##0_ ;_ &quot;₹&quot;\ * \-#,##0_ ;_ &quot;₹&quot;\ * &quot;-&quot;_ ;_ @_ 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numFmt numFmtId="169" formatCode="#\ &quot;days&quot;"/>
    </dxf>
    <dxf>
      <numFmt numFmtId="169" formatCode="#\ &quot;days&quot;"/>
    </dxf>
    <dxf>
      <numFmt numFmtId="166" formatCode="&quot;₹&quot;\ #,##0.00"/>
    </dxf>
    <dxf>
      <font>
        <b val="0"/>
      </font>
    </dxf>
    <dxf>
      <font>
        <color rgb="FF00B05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4"/>
      </font>
    </dxf>
    <dxf>
      <font>
        <sz val="14"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u val="none"/>
      </font>
    </dxf>
    <dxf>
      <font>
        <u val="none"/>
      </font>
    </dxf>
    <dxf>
      <font>
        <u val="none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rgb="FFFFFF99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0099FF"/>
        </patternFill>
      </fill>
    </dxf>
    <dxf>
      <fill>
        <patternFill patternType="solid">
          <bgColor rgb="FF0099FF"/>
        </patternFill>
      </fill>
    </dxf>
    <dxf>
      <fill>
        <patternFill patternType="solid">
          <bgColor rgb="FF0099FF"/>
        </patternFill>
      </fill>
    </dxf>
    <dxf>
      <fill>
        <patternFill patternType="solid">
          <bgColor rgb="FF0099FF"/>
        </patternFill>
      </fill>
    </dxf>
    <dxf>
      <fill>
        <patternFill patternType="solid">
          <bgColor rgb="FF0099FF"/>
        </patternFill>
      </fill>
    </dxf>
    <dxf>
      <fill>
        <patternFill patternType="solid">
          <bgColor rgb="FF0099FF"/>
        </patternFill>
      </fill>
    </dxf>
    <dxf>
      <font>
        <b val="0"/>
      </font>
    </dxf>
    <dxf>
      <font>
        <color rgb="FF66FFFF"/>
      </font>
    </dxf>
    <dxf>
      <font>
        <sz val="12"/>
      </font>
    </dxf>
    <dxf>
      <font>
        <color rgb="FF00B050"/>
      </font>
    </dxf>
  </dxfs>
  <tableStyles count="0" defaultTableStyle="TableStyleMedium9" defaultPivotStyle="PivotStyleLight16"/>
  <colors>
    <mruColors>
      <color rgb="FFC3DADB"/>
      <color rgb="FFFFFFCC"/>
      <color rgb="FFFFFF99"/>
      <color rgb="FFFF5050"/>
      <color rgb="FF0099FF"/>
      <color rgb="FF66FFFF"/>
      <color rgb="FF66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pivotSource>
    <c:name>[EMPLOYEE PAY REGISTER.xlsx]Sheet4!PivotTable4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COMPARISON</a:t>
            </a:r>
            <a:r>
              <a:rPr lang="en-US" baseline="0"/>
              <a:t> BETWEEN DEPARTMENTS</a:t>
            </a:r>
            <a:endParaRPr lang="en-US"/>
          </a:p>
        </c:rich>
      </c:tx>
    </c:title>
    <c:pivotFmts>
      <c:pivotFmt>
        <c:idx val="0"/>
      </c:pivotFmt>
      <c:pivotFmt>
        <c:idx val="1"/>
        <c:dLbl>
          <c:idx val="0"/>
          <c:delete val="1"/>
        </c:dLbl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  <c:dLbl>
          <c:idx val="0"/>
          <c:delete val="1"/>
        </c:dLbl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Sheet4!$B$1:$B$2</c:f>
              <c:strCache>
                <c:ptCount val="1"/>
                <c:pt idx="0">
                  <c:v>Sum of Sum of BONUS( 15%)</c:v>
                </c:pt>
              </c:strCache>
            </c:strRef>
          </c:tx>
          <c:cat>
            <c:strRef>
              <c:f>Sheet4!$A$3:$A$6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Sheet4!$B$3:$B$6</c:f>
              <c:numCache>
                <c:formatCode>General</c:formatCode>
                <c:ptCount val="3"/>
                <c:pt idx="0">
                  <c:v>237765</c:v>
                </c:pt>
                <c:pt idx="1">
                  <c:v>181995</c:v>
                </c:pt>
                <c:pt idx="2">
                  <c:v>194865</c:v>
                </c:pt>
              </c:numCache>
            </c:numRef>
          </c:val>
        </c:ser>
        <c:ser>
          <c:idx val="1"/>
          <c:order val="1"/>
          <c:tx>
            <c:strRef>
              <c:f>Sheet4!$C$1:$C$2</c:f>
              <c:strCache>
                <c:ptCount val="1"/>
                <c:pt idx="0">
                  <c:v>Sum of Sum of NET SALARY </c:v>
                </c:pt>
              </c:strCache>
            </c:strRef>
          </c:tx>
          <c:cat>
            <c:strRef>
              <c:f>Sheet4!$A$3:$A$6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Sheet4!$C$3:$C$6</c:f>
              <c:numCache>
                <c:formatCode>General</c:formatCode>
                <c:ptCount val="3"/>
                <c:pt idx="0">
                  <c:v>2156312.6774193547</c:v>
                </c:pt>
                <c:pt idx="1">
                  <c:v>1659157.8709677418</c:v>
                </c:pt>
                <c:pt idx="2">
                  <c:v>1759885.9032258065</c:v>
                </c:pt>
              </c:numCache>
            </c:numRef>
          </c:val>
        </c:ser>
        <c:ser>
          <c:idx val="2"/>
          <c:order val="2"/>
          <c:tx>
            <c:strRef>
              <c:f>Sheet4!$D$1:$D$2</c:f>
              <c:strCache>
                <c:ptCount val="1"/>
                <c:pt idx="0">
                  <c:v>Sum of Sum of OVERTIME SALARY</c:v>
                </c:pt>
              </c:strCache>
            </c:strRef>
          </c:tx>
          <c:cat>
            <c:strRef>
              <c:f>Sheet4!$A$3:$A$6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Sheet4!$D$3:$D$6</c:f>
              <c:numCache>
                <c:formatCode>General</c:formatCode>
                <c:ptCount val="3"/>
                <c:pt idx="0">
                  <c:v>73887.09677419356</c:v>
                </c:pt>
                <c:pt idx="1">
                  <c:v>37205.645161290326</c:v>
                </c:pt>
                <c:pt idx="2">
                  <c:v>38927.419354838705</c:v>
                </c:pt>
              </c:numCache>
            </c:numRef>
          </c:val>
        </c:ser>
        <c:axId val="117712768"/>
        <c:axId val="117720576"/>
      </c:barChart>
      <c:catAx>
        <c:axId val="117712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DEPARTMENTS</a:t>
                </a:r>
              </a:p>
            </c:rich>
          </c:tx>
        </c:title>
        <c:majorTickMark val="none"/>
        <c:tickLblPos val="nextTo"/>
        <c:crossAx val="117720576"/>
        <c:crosses val="autoZero"/>
        <c:auto val="1"/>
        <c:lblAlgn val="ctr"/>
        <c:lblOffset val="100"/>
      </c:catAx>
      <c:valAx>
        <c:axId val="117720576"/>
        <c:scaling>
          <c:orientation val="minMax"/>
        </c:scaling>
        <c:axPos val="l"/>
        <c:numFmt formatCode="General" sourceLinked="1"/>
        <c:tickLblPos val="nextTo"/>
        <c:crossAx val="117712768"/>
        <c:crosses val="autoZero"/>
        <c:crossBetween val="between"/>
      </c:valAx>
      <c:spPr>
        <a:noFill/>
        <a:ln w="25400">
          <a:noFill/>
        </a:ln>
      </c:spPr>
    </c:plotArea>
    <c:legend>
      <c:legendPos val="r"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pivotSource>
    <c:name>[EMPLOYEE PAY REGISTER.xlsx]dashboarding!PivotTable1</c:name>
    <c:fmtId val="0"/>
  </c:pivotSource>
  <c:chart>
    <c:title>
      <c:tx>
        <c:rich>
          <a:bodyPr/>
          <a:lstStyle/>
          <a:p>
            <a:pPr>
              <a:defRPr u="sng"/>
            </a:pPr>
            <a:r>
              <a:rPr lang="en-US" u="sng"/>
              <a:t>NET SALARY ANALYSIS </a:t>
            </a:r>
          </a:p>
        </c:rich>
      </c:tx>
      <c:layout/>
    </c:title>
    <c:pivotFmts>
      <c:pivotFmt>
        <c:idx val="0"/>
        <c:dLbl>
          <c:idx val="0"/>
          <c:showPercent val="1"/>
        </c:dLbl>
      </c:pivotFmt>
      <c:pivotFmt>
        <c:idx val="1"/>
        <c:marker>
          <c:symbol val="none"/>
        </c:marker>
        <c:dLbl>
          <c:idx val="0"/>
          <c:showPercent val="1"/>
        </c:dLbl>
      </c:pivotFmt>
      <c:pivotFmt>
        <c:idx val="2"/>
        <c:marker>
          <c:symbol val="none"/>
        </c:marker>
        <c:dLbl>
          <c:idx val="0"/>
          <c:showPercent val="1"/>
        </c:dLbl>
      </c:pivotFmt>
      <c:pivotFmt>
        <c:idx val="3"/>
        <c:marker>
          <c:symbol val="none"/>
        </c:marker>
        <c:dLbl>
          <c:idx val="0"/>
          <c:showPercent val="1"/>
        </c:dLbl>
      </c:pivotFmt>
      <c:pivotFmt>
        <c:idx val="4"/>
        <c:marker>
          <c:symbol val="none"/>
        </c:marker>
        <c:dLbl>
          <c:idx val="0"/>
          <c:layout/>
          <c:showPercent val="1"/>
        </c:dLbl>
      </c:pivotFmt>
      <c:pivotFmt>
        <c:idx val="5"/>
        <c:dLbl>
          <c:idx val="0"/>
          <c:showPercent val="1"/>
        </c:dLbl>
      </c:pivotFmt>
      <c:pivotFmt>
        <c:idx val="6"/>
        <c:marker>
          <c:symbol val="none"/>
        </c:marker>
        <c:dLbl>
          <c:idx val="0"/>
          <c:showPercent val="1"/>
        </c:dLbl>
      </c:pivotFmt>
      <c:pivotFmt>
        <c:idx val="7"/>
        <c:marker>
          <c:symbol val="none"/>
        </c:marker>
        <c:dLbl>
          <c:idx val="0"/>
          <c:showPercent val="1"/>
        </c:dLbl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  <c:dLbl>
          <c:idx val="0"/>
          <c:showPercent val="1"/>
        </c:dLbl>
      </c:pivotFmt>
      <c:pivotFmt>
        <c:idx val="10"/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</c:pivotFmts>
    <c:view3D>
      <c:rotX val="30"/>
      <c:perspective val="30"/>
    </c:view3D>
    <c:plotArea>
      <c:layout>
        <c:manualLayout>
          <c:layoutTarget val="inner"/>
          <c:xMode val="edge"/>
          <c:yMode val="edge"/>
          <c:x val="3.4605214299204216E-3"/>
          <c:y val="0.180206335459553"/>
          <c:w val="0.9446740371432385"/>
          <c:h val="0.75725064991046598"/>
        </c:manualLayout>
      </c:layout>
      <c:pie3DChart>
        <c:varyColors val="1"/>
        <c:ser>
          <c:idx val="0"/>
          <c:order val="0"/>
          <c:tx>
            <c:strRef>
              <c:f>dashboarding!$B$13:$B$14</c:f>
              <c:strCache>
                <c:ptCount val="1"/>
                <c:pt idx="0">
                  <c:v>Sum of NET SALARY 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dashboarding!$A$15:$A$18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dashboarding!$B$15:$B$18</c:f>
              <c:numCache>
                <c:formatCode>_ "₹"\ * #,##0_ ;_ "₹"\ * \-#,##0_ ;_ "₹"\ * "-"_ ;_ @_ </c:formatCode>
                <c:ptCount val="3"/>
                <c:pt idx="0">
                  <c:v>2156312.6774193547</c:v>
                </c:pt>
                <c:pt idx="1">
                  <c:v>1659157.8709677418</c:v>
                </c:pt>
                <c:pt idx="2">
                  <c:v>1759885.9032258065</c:v>
                </c:pt>
              </c:numCache>
            </c:numRef>
          </c:val>
        </c:ser>
        <c:ser>
          <c:idx val="1"/>
          <c:order val="1"/>
          <c:tx>
            <c:strRef>
              <c:f>dashboarding!$C$13:$C$14</c:f>
              <c:strCache>
                <c:ptCount val="1"/>
                <c:pt idx="0">
                  <c:v>Sum of BASIC SALARY</c:v>
                </c:pt>
              </c:strCache>
            </c:strRef>
          </c:tx>
          <c:dLbls>
            <c:delete val="1"/>
          </c:dLbls>
          <c:cat>
            <c:strRef>
              <c:f>dashboarding!$A$15:$A$18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dashboarding!$C$15:$C$18</c:f>
              <c:numCache>
                <c:formatCode>_ "₹"\ * #,##0.00_ ;_ "₹"\ * \-#,##0.00_ ;_ "₹"\ * "-"??_ ;_ @_ </c:formatCode>
                <c:ptCount val="3"/>
                <c:pt idx="0">
                  <c:v>1441000</c:v>
                </c:pt>
                <c:pt idx="1">
                  <c:v>1103000</c:v>
                </c:pt>
                <c:pt idx="2">
                  <c:v>1181000</c:v>
                </c:pt>
              </c:numCache>
            </c:numRef>
          </c:val>
        </c:ser>
        <c:ser>
          <c:idx val="2"/>
          <c:order val="2"/>
          <c:tx>
            <c:strRef>
              <c:f>dashboarding!$D$13:$D$14</c:f>
              <c:strCache>
                <c:ptCount val="1"/>
                <c:pt idx="0">
                  <c:v>Sum of LEAVES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dashboarding!$A$15:$A$18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dashboarding!$D$15:$D$18</c:f>
              <c:numCache>
                <c:formatCode>#\ "days"</c:formatCode>
                <c:ptCount val="3"/>
                <c:pt idx="0">
                  <c:v>70</c:v>
                </c:pt>
                <c:pt idx="1">
                  <c:v>55</c:v>
                </c:pt>
                <c:pt idx="2">
                  <c:v>61</c:v>
                </c:pt>
              </c:numCache>
            </c:numRef>
          </c:val>
        </c:ser>
        <c:ser>
          <c:idx val="3"/>
          <c:order val="3"/>
          <c:tx>
            <c:strRef>
              <c:f>dashboarding!$E$13:$E$14</c:f>
              <c:strCache>
                <c:ptCount val="1"/>
                <c:pt idx="0">
                  <c:v>Sum of BONUS( 15%)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dashboarding!$A$15:$A$18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dashboarding!$E$15:$E$18</c:f>
              <c:numCache>
                <c:formatCode>_ "₹"\ * #,##0_ ;_ "₹"\ * \-#,##0_ ;_ "₹"\ * "-"_ ;_ @_ </c:formatCode>
                <c:ptCount val="3"/>
                <c:pt idx="0">
                  <c:v>237765</c:v>
                </c:pt>
                <c:pt idx="1">
                  <c:v>181995</c:v>
                </c:pt>
                <c:pt idx="2">
                  <c:v>194865</c:v>
                </c:pt>
              </c:numCache>
            </c:numRef>
          </c:val>
        </c:ser>
        <c:ser>
          <c:idx val="4"/>
          <c:order val="4"/>
          <c:tx>
            <c:strRef>
              <c:f>dashboarding!$F$13:$F$14</c:f>
              <c:strCache>
                <c:ptCount val="1"/>
                <c:pt idx="0">
                  <c:v>Sum of PF (12%)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dashboarding!$A$15:$A$18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dashboarding!$F$15:$F$18</c:f>
              <c:numCache>
                <c:formatCode>_ "₹"\ * #,##0_ ;_ "₹"\ * \-#,##0_ ;_ "₹"\ * "-"_ ;_ @_ </c:formatCode>
                <c:ptCount val="3"/>
                <c:pt idx="0">
                  <c:v>190212</c:v>
                </c:pt>
                <c:pt idx="1">
                  <c:v>145596</c:v>
                </c:pt>
                <c:pt idx="2">
                  <c:v>155892</c:v>
                </c:pt>
              </c:numCache>
            </c:numRef>
          </c:val>
        </c:ser>
        <c:ser>
          <c:idx val="5"/>
          <c:order val="5"/>
          <c:tx>
            <c:strRef>
              <c:f>dashboarding!$G$13:$G$14</c:f>
              <c:strCache>
                <c:ptCount val="1"/>
                <c:pt idx="0">
                  <c:v>Sum of DA (10%)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dashboarding!$A$15:$A$18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dashboarding!$G$15:$G$18</c:f>
              <c:numCache>
                <c:formatCode>_ "₹"\ * #,##0_ ;_ "₹"\ * \-#,##0_ ;_ "₹"\ * "-"_ ;_ @_ </c:formatCode>
                <c:ptCount val="3"/>
                <c:pt idx="0">
                  <c:v>144100</c:v>
                </c:pt>
                <c:pt idx="1">
                  <c:v>110300</c:v>
                </c:pt>
                <c:pt idx="2">
                  <c:v>118100</c:v>
                </c:pt>
              </c:numCache>
            </c:numRef>
          </c:val>
        </c:ser>
        <c:ser>
          <c:idx val="6"/>
          <c:order val="6"/>
          <c:tx>
            <c:strRef>
              <c:f>dashboarding!$H$13:$H$14</c:f>
              <c:strCache>
                <c:ptCount val="1"/>
                <c:pt idx="0">
                  <c:v>Sum of OVERTIME HOURS</c:v>
                </c:pt>
              </c:strCache>
            </c:strRef>
          </c:tx>
          <c:dLbls>
            <c:delete val="1"/>
          </c:dLbls>
          <c:cat>
            <c:strRef>
              <c:f>dashboarding!$A$15:$A$18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dashboarding!$H$15:$H$18</c:f>
              <c:numCache>
                <c:formatCode>#\ "HRS"</c:formatCode>
                <c:ptCount val="3"/>
                <c:pt idx="0">
                  <c:v>187</c:v>
                </c:pt>
                <c:pt idx="1">
                  <c:v>142</c:v>
                </c:pt>
                <c:pt idx="2">
                  <c:v>157</c:v>
                </c:pt>
              </c:numCache>
            </c:numRef>
          </c:val>
        </c:ser>
        <c:ser>
          <c:idx val="7"/>
          <c:order val="7"/>
          <c:tx>
            <c:strRef>
              <c:f>dashboarding!$I$13:$I$14</c:f>
              <c:strCache>
                <c:ptCount val="1"/>
                <c:pt idx="0">
                  <c:v>Sum of OVERTIME SALARY</c:v>
                </c:pt>
              </c:strCache>
            </c:strRef>
          </c:tx>
          <c:dLbls>
            <c:delete val="1"/>
          </c:dLbls>
          <c:cat>
            <c:strRef>
              <c:f>dashboarding!$A$15:$A$18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dashboarding!$I$15:$I$18</c:f>
              <c:numCache>
                <c:formatCode>_ "₹"\ * #,##0_ ;_ "₹"\ * \-#,##0_ ;_ "₹"\ * "-"_ ;_ @_ </c:formatCode>
                <c:ptCount val="3"/>
                <c:pt idx="0">
                  <c:v>73887.09677419356</c:v>
                </c:pt>
                <c:pt idx="1">
                  <c:v>37205.645161290326</c:v>
                </c:pt>
                <c:pt idx="2">
                  <c:v>38927.419354838705</c:v>
                </c:pt>
              </c:numCache>
            </c:numRef>
          </c:val>
        </c:ser>
        <c:ser>
          <c:idx val="8"/>
          <c:order val="8"/>
          <c:tx>
            <c:strRef>
              <c:f>dashboarding!$J$13:$J$14</c:f>
              <c:strCache>
                <c:ptCount val="1"/>
                <c:pt idx="0">
                  <c:v>Sum of CONVEYANCE (5%)</c:v>
                </c:pt>
              </c:strCache>
            </c:strRef>
          </c:tx>
          <c:dLbls>
            <c:delete val="1"/>
          </c:dLbls>
          <c:cat>
            <c:strRef>
              <c:f>dashboarding!$A$15:$A$18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dashboarding!$J$15:$J$18</c:f>
              <c:numCache>
                <c:formatCode>_ "₹"\ * #,##0_ ;_ "₹"\ * \-#,##0_ ;_ "₹"\ * "-"_ ;_ @_ </c:formatCode>
                <c:ptCount val="3"/>
                <c:pt idx="0">
                  <c:v>72050</c:v>
                </c:pt>
                <c:pt idx="1">
                  <c:v>55150</c:v>
                </c:pt>
                <c:pt idx="2">
                  <c:v>59050</c:v>
                </c:pt>
              </c:numCache>
            </c:numRef>
          </c:val>
        </c:ser>
        <c:ser>
          <c:idx val="9"/>
          <c:order val="9"/>
          <c:tx>
            <c:strRef>
              <c:f>dashboarding!$K$13:$K$14</c:f>
              <c:strCache>
                <c:ptCount val="1"/>
                <c:pt idx="0">
                  <c:v>Sum of HRA (40%)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dashboarding!$A$15:$A$18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dashboarding!$K$15:$K$18</c:f>
              <c:numCache>
                <c:formatCode>_ "₹"\ * #,##0_ ;_ "₹"\ * \-#,##0_ ;_ "₹"\ * "-"_ ;_ @_ </c:formatCode>
                <c:ptCount val="3"/>
                <c:pt idx="0">
                  <c:v>576400</c:v>
                </c:pt>
                <c:pt idx="1">
                  <c:v>441200</c:v>
                </c:pt>
                <c:pt idx="2">
                  <c:v>472400</c:v>
                </c:pt>
              </c:numCache>
            </c:numRef>
          </c:val>
        </c:ser>
        <c:ser>
          <c:idx val="10"/>
          <c:order val="10"/>
          <c:tx>
            <c:strRef>
              <c:f>dashboarding!$L$13:$L$14</c:f>
              <c:strCache>
                <c:ptCount val="1"/>
                <c:pt idx="0">
                  <c:v>Sum of MEDICLAIM (500) 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dashboarding!$A$15:$A$18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dashboarding!$L$15:$L$18</c:f>
              <c:numCache>
                <c:formatCode>_ "₹"\ * #,##0_ ;_ "₹"\ * \-#,##0_ ;_ "₹"\ * "-"_ ;_ @_ </c:formatCode>
                <c:ptCount val="3"/>
                <c:pt idx="0">
                  <c:v>9000</c:v>
                </c:pt>
                <c:pt idx="1">
                  <c:v>8000</c:v>
                </c:pt>
                <c:pt idx="2">
                  <c:v>8500</c:v>
                </c:pt>
              </c:numCache>
            </c:numRef>
          </c:val>
        </c:ser>
        <c:dLbls>
          <c:showPercent val="1"/>
        </c:dLbls>
      </c:pie3DChart>
    </c:plotArea>
    <c:legend>
      <c:legendPos val="t"/>
      <c:layout/>
      <c:txPr>
        <a:bodyPr/>
        <a:lstStyle/>
        <a:p>
          <a:pPr>
            <a:defRPr sz="2000"/>
          </a:pPr>
          <a:endParaRPr lang="en-US"/>
        </a:p>
      </c:txPr>
    </c:legend>
    <c:plotVisOnly val="1"/>
  </c:chart>
  <c:spPr>
    <a:solidFill>
      <a:schemeClr val="bg2">
        <a:lumMod val="75000"/>
      </a:schemeClr>
    </a:solidFill>
  </c:spPr>
  <c:txPr>
    <a:bodyPr/>
    <a:lstStyle/>
    <a:p>
      <a:pPr>
        <a:defRPr sz="1600">
          <a:solidFill>
            <a:schemeClr val="tx1"/>
          </a:solidFill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pivotSource>
    <c:name>[EMPLOYEE PAY REGISTER.xlsx]Sheet4!PivotTable4</c:name>
    <c:fmtId val="2"/>
  </c:pivotSource>
  <c:chart>
    <c:title>
      <c:tx>
        <c:rich>
          <a:bodyPr/>
          <a:lstStyle/>
          <a:p>
            <a:pPr>
              <a:defRPr u="sng"/>
            </a:pPr>
            <a:r>
              <a:rPr lang="en-US" u="sng"/>
              <a:t>COMPARISON BETWEEN DEPARTMENTS</a:t>
            </a:r>
          </a:p>
        </c:rich>
      </c:tx>
      <c:layout/>
    </c:title>
    <c:pivotFmts>
      <c:pivotFmt>
        <c:idx val="0"/>
      </c:pivotFmt>
      <c:pivotFmt>
        <c:idx val="1"/>
        <c:dLbl>
          <c:idx val="0"/>
          <c:delete val="1"/>
        </c:dLbl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  <c:dLbl>
          <c:idx val="0"/>
          <c:delete val="1"/>
        </c:dLbl>
      </c:pivotFmt>
      <c:pivotFmt>
        <c:idx val="5"/>
        <c:marker>
          <c:symbol val="none"/>
        </c:marker>
        <c:dLbl>
          <c:idx val="0"/>
          <c:delete val="1"/>
        </c:dLbl>
      </c:pivotFmt>
      <c:pivotFmt>
        <c:idx val="6"/>
        <c:marker>
          <c:symbol val="none"/>
        </c:marker>
        <c:dLbl>
          <c:idx val="0"/>
          <c:delete val="1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Sheet4!$B$1:$B$2</c:f>
              <c:strCache>
                <c:ptCount val="1"/>
                <c:pt idx="0">
                  <c:v>Sum of Sum of BONUS( 15%)</c:v>
                </c:pt>
              </c:strCache>
            </c:strRef>
          </c:tx>
          <c:cat>
            <c:strRef>
              <c:f>Sheet4!$A$3:$A$6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Sheet4!$B$3:$B$6</c:f>
              <c:numCache>
                <c:formatCode>General</c:formatCode>
                <c:ptCount val="3"/>
                <c:pt idx="0">
                  <c:v>237765</c:v>
                </c:pt>
                <c:pt idx="1">
                  <c:v>181995</c:v>
                </c:pt>
                <c:pt idx="2">
                  <c:v>194865</c:v>
                </c:pt>
              </c:numCache>
            </c:numRef>
          </c:val>
        </c:ser>
        <c:ser>
          <c:idx val="1"/>
          <c:order val="1"/>
          <c:tx>
            <c:strRef>
              <c:f>Sheet4!$C$1:$C$2</c:f>
              <c:strCache>
                <c:ptCount val="1"/>
                <c:pt idx="0">
                  <c:v>Sum of Sum of NET SALARY </c:v>
                </c:pt>
              </c:strCache>
            </c:strRef>
          </c:tx>
          <c:cat>
            <c:strRef>
              <c:f>Sheet4!$A$3:$A$6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Sheet4!$C$3:$C$6</c:f>
              <c:numCache>
                <c:formatCode>General</c:formatCode>
                <c:ptCount val="3"/>
                <c:pt idx="0">
                  <c:v>2156312.6774193547</c:v>
                </c:pt>
                <c:pt idx="1">
                  <c:v>1659157.8709677418</c:v>
                </c:pt>
                <c:pt idx="2">
                  <c:v>1759885.9032258065</c:v>
                </c:pt>
              </c:numCache>
            </c:numRef>
          </c:val>
        </c:ser>
        <c:ser>
          <c:idx val="2"/>
          <c:order val="2"/>
          <c:tx>
            <c:strRef>
              <c:f>Sheet4!$D$1:$D$2</c:f>
              <c:strCache>
                <c:ptCount val="1"/>
                <c:pt idx="0">
                  <c:v>Sum of Sum of OVERTIME SALARY</c:v>
                </c:pt>
              </c:strCache>
            </c:strRef>
          </c:tx>
          <c:cat>
            <c:strRef>
              <c:f>Sheet4!$A$3:$A$6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</c:strCache>
            </c:strRef>
          </c:cat>
          <c:val>
            <c:numRef>
              <c:f>Sheet4!$D$3:$D$6</c:f>
              <c:numCache>
                <c:formatCode>General</c:formatCode>
                <c:ptCount val="3"/>
                <c:pt idx="0">
                  <c:v>73887.09677419356</c:v>
                </c:pt>
                <c:pt idx="1">
                  <c:v>37205.645161290326</c:v>
                </c:pt>
                <c:pt idx="2">
                  <c:v>38927.419354838705</c:v>
                </c:pt>
              </c:numCache>
            </c:numRef>
          </c:val>
        </c:ser>
        <c:axId val="117891072"/>
        <c:axId val="117892608"/>
      </c:barChart>
      <c:catAx>
        <c:axId val="117891072"/>
        <c:scaling>
          <c:orientation val="minMax"/>
        </c:scaling>
        <c:axPos val="b"/>
        <c:majorTickMark val="none"/>
        <c:tickLblPos val="nextTo"/>
        <c:crossAx val="117892608"/>
        <c:crosses val="autoZero"/>
        <c:auto val="1"/>
        <c:lblAlgn val="ctr"/>
        <c:lblOffset val="100"/>
      </c:catAx>
      <c:valAx>
        <c:axId val="117892608"/>
        <c:scaling>
          <c:orientation val="minMax"/>
        </c:scaling>
        <c:axPos val="l"/>
        <c:numFmt formatCode="General" sourceLinked="1"/>
        <c:majorTickMark val="none"/>
        <c:tickLblPos val="nextTo"/>
        <c:crossAx val="11789107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txPr>
        <a:bodyPr/>
        <a:lstStyle/>
        <a:p>
          <a:pPr>
            <a:defRPr sz="1600"/>
          </a:pPr>
          <a:endParaRPr lang="en-US"/>
        </a:p>
      </c:txPr>
    </c:legend>
    <c:plotVisOnly val="1"/>
  </c:chart>
  <c:spPr>
    <a:solidFill>
      <a:schemeClr val="bg2">
        <a:lumMod val="75000"/>
      </a:schemeClr>
    </a:solidFill>
  </c:spPr>
  <c:txPr>
    <a:bodyPr/>
    <a:lstStyle/>
    <a:p>
      <a:pPr>
        <a:defRPr sz="1600">
          <a:solidFill>
            <a:schemeClr val="tx1"/>
          </a:solidFill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chart>
    <c:title>
      <c:tx>
        <c:rich>
          <a:bodyPr/>
          <a:lstStyle/>
          <a:p>
            <a:pPr>
              <a:defRPr sz="2000" u="sng"/>
            </a:pPr>
            <a:r>
              <a:rPr lang="en-US" sz="2000" u="sng"/>
              <a:t>COMPARISON</a:t>
            </a:r>
            <a:r>
              <a:rPr lang="en-US" sz="2000" u="sng" baseline="0"/>
              <a:t> BETWEEN TOP 5 MOST SALARY PAID EMPLOYEES</a:t>
            </a:r>
            <a:endParaRPr lang="en-US" sz="2000" u="sng"/>
          </a:p>
        </c:rich>
      </c:tx>
      <c:layout>
        <c:manualLayout>
          <c:xMode val="edge"/>
          <c:yMode val="edge"/>
          <c:x val="0.20389459956583986"/>
          <c:y val="4.7751941482166271E-2"/>
        </c:manualLayout>
      </c:layout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084745376437225"/>
          <c:y val="0.17542724101809892"/>
          <c:w val="0.52257377379202397"/>
          <c:h val="0.67419823292300629"/>
        </c:manualLayout>
      </c:layout>
      <c:barChart>
        <c:barDir val="bar"/>
        <c:grouping val="clustered"/>
        <c:ser>
          <c:idx val="0"/>
          <c:order val="0"/>
          <c:tx>
            <c:v>Sum of OVERTIME SALARY</c:v>
          </c:tx>
          <c:cat>
            <c:strLit>
              <c:ptCount val="5"/>
              <c:pt idx="0">
                <c:v>alpha 122403</c:v>
              </c:pt>
              <c:pt idx="1">
                <c:v>alpha 122418</c:v>
              </c:pt>
              <c:pt idx="2">
                <c:v>alpha 122427</c:v>
              </c:pt>
              <c:pt idx="3">
                <c:v>gama 122410</c:v>
              </c:pt>
              <c:pt idx="4">
                <c:v>gama 122446</c:v>
              </c:pt>
            </c:strLit>
          </c:cat>
          <c:val>
            <c:numLit>
              <c:formatCode>General</c:formatCode>
              <c:ptCount val="5"/>
              <c:pt idx="0">
                <c:v>14193.548387096802</c:v>
              </c:pt>
              <c:pt idx="1">
                <c:v>8891.1290322580608</c:v>
              </c:pt>
              <c:pt idx="2">
                <c:v>16693.548387096798</c:v>
              </c:pt>
              <c:pt idx="3">
                <c:v>5987.9032258064499</c:v>
              </c:pt>
              <c:pt idx="4">
                <c:v>3709.6774193548399</c:v>
              </c:pt>
            </c:numLit>
          </c:val>
        </c:ser>
        <c:ser>
          <c:idx val="1"/>
          <c:order val="1"/>
          <c:tx>
            <c:v>Sum of NET SALARY </c:v>
          </c:tx>
          <c:cat>
            <c:strLit>
              <c:ptCount val="5"/>
              <c:pt idx="0">
                <c:v>alpha 122403</c:v>
              </c:pt>
              <c:pt idx="1">
                <c:v>alpha 122418</c:v>
              </c:pt>
              <c:pt idx="2">
                <c:v>alpha 122427</c:v>
              </c:pt>
              <c:pt idx="3">
                <c:v>gama 122410</c:v>
              </c:pt>
              <c:pt idx="4">
                <c:v>gama 122446</c:v>
              </c:pt>
            </c:strLit>
          </c:cat>
          <c:val>
            <c:numLit>
              <c:formatCode>General</c:formatCode>
              <c:ptCount val="5"/>
              <c:pt idx="0">
                <c:v>263914.45161290298</c:v>
              </c:pt>
              <c:pt idx="1">
                <c:v>356710</c:v>
              </c:pt>
              <c:pt idx="2">
                <c:v>343186.77419354802</c:v>
              </c:pt>
              <c:pt idx="3">
                <c:v>256037.74193548402</c:v>
              </c:pt>
              <c:pt idx="4">
                <c:v>330202.90322580602</c:v>
              </c:pt>
            </c:numLit>
          </c:val>
        </c:ser>
        <c:ser>
          <c:idx val="2"/>
          <c:order val="2"/>
          <c:tx>
            <c:v>Sum of BASIC SALARY</c:v>
          </c:tx>
          <c:cat>
            <c:strLit>
              <c:ptCount val="5"/>
              <c:pt idx="0">
                <c:v>alpha 122403</c:v>
              </c:pt>
              <c:pt idx="1">
                <c:v>alpha 122418</c:v>
              </c:pt>
              <c:pt idx="2">
                <c:v>alpha 122427</c:v>
              </c:pt>
              <c:pt idx="3">
                <c:v>gama 122410</c:v>
              </c:pt>
              <c:pt idx="4">
                <c:v>gama 122446</c:v>
              </c:pt>
            </c:strLit>
          </c:cat>
          <c:val>
            <c:numLit>
              <c:formatCode>General</c:formatCode>
              <c:ptCount val="5"/>
              <c:pt idx="0">
                <c:v>176000</c:v>
              </c:pt>
              <c:pt idx="1">
                <c:v>245000</c:v>
              </c:pt>
              <c:pt idx="2">
                <c:v>230000</c:v>
              </c:pt>
              <c:pt idx="3">
                <c:v>165000</c:v>
              </c:pt>
              <c:pt idx="4">
                <c:v>230000</c:v>
              </c:pt>
            </c:numLit>
          </c:val>
        </c:ser>
        <c:axId val="125385344"/>
        <c:axId val="125387136"/>
      </c:barChart>
      <c:catAx>
        <c:axId val="125385344"/>
        <c:scaling>
          <c:orientation val="minMax"/>
        </c:scaling>
        <c:axPos val="l"/>
        <c:tickLblPos val="nextTo"/>
        <c:crossAx val="125387136"/>
        <c:crosses val="autoZero"/>
        <c:auto val="1"/>
        <c:lblAlgn val="ctr"/>
        <c:lblOffset val="100"/>
      </c:catAx>
      <c:valAx>
        <c:axId val="125387136"/>
        <c:scaling>
          <c:orientation val="minMax"/>
        </c:scaling>
        <c:axPos val="b"/>
        <c:numFmt formatCode="General" sourceLinked="1"/>
        <c:tickLblPos val="nextTo"/>
        <c:crossAx val="1253853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06619414975444"/>
          <c:y val="0.37442403032954252"/>
          <c:w val="0.24575431042887841"/>
          <c:h val="0.25115157480314959"/>
        </c:manualLayout>
      </c:layout>
    </c:legend>
    <c:plotVisOnly val="1"/>
  </c:chart>
  <c:spPr>
    <a:solidFill>
      <a:schemeClr val="bg2">
        <a:lumMod val="75000"/>
      </a:schemeClr>
    </a:solidFill>
  </c:spPr>
  <c:txPr>
    <a:bodyPr/>
    <a:lstStyle/>
    <a:p>
      <a:pPr>
        <a:defRPr sz="1800">
          <a:solidFill>
            <a:schemeClr val="tx1"/>
          </a:solidFill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chart>
    <c:title>
      <c:tx>
        <c:rich>
          <a:bodyPr/>
          <a:lstStyle/>
          <a:p>
            <a:pPr>
              <a:defRPr u="sng"/>
            </a:pPr>
            <a:r>
              <a:rPr lang="en-US" u="sng"/>
              <a:t>OVERTIME HOURS DEPARTMENT WISE</a:t>
            </a:r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Lbls>
            <c:showCatName val="1"/>
          </c:dLbls>
          <c:cat>
            <c:strLit>
              <c:ptCount val="3"/>
              <c:pt idx="0">
                <c:v>alpha</c:v>
              </c:pt>
              <c:pt idx="1">
                <c:v>beta</c:v>
              </c:pt>
              <c:pt idx="2">
                <c:v>gama</c:v>
              </c:pt>
            </c:strLit>
          </c:cat>
          <c:val>
            <c:numLit>
              <c:formatCode>General</c:formatCode>
              <c:ptCount val="3"/>
              <c:pt idx="0">
                <c:v>187</c:v>
              </c:pt>
              <c:pt idx="1">
                <c:v>142</c:v>
              </c:pt>
              <c:pt idx="2">
                <c:v>157</c:v>
              </c:pt>
            </c:numLit>
          </c:val>
        </c:ser>
        <c:dLbls>
          <c:showCatName val="1"/>
        </c:dLbls>
        <c:firstSliceAng val="0"/>
        <c:holeSize val="50"/>
      </c:doughnutChart>
    </c:plotArea>
    <c:plotVisOnly val="1"/>
  </c:chart>
  <c:spPr>
    <a:solidFill>
      <a:schemeClr val="bg2">
        <a:lumMod val="75000"/>
      </a:schemeClr>
    </a:solidFill>
  </c:spPr>
  <c:txPr>
    <a:bodyPr/>
    <a:lstStyle/>
    <a:p>
      <a:pPr>
        <a:defRPr sz="1400" u="none">
          <a:solidFill>
            <a:schemeClr val="tx1"/>
          </a:solidFill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1990725</xdr:colOff>
      <xdr:row>2</xdr:row>
      <xdr:rowOff>123825</xdr:rowOff>
    </xdr:from>
    <xdr:to>
      <xdr:col>11</xdr:col>
      <xdr:colOff>228600</xdr:colOff>
      <xdr:row>22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86591</xdr:rowOff>
    </xdr:from>
    <xdr:to>
      <xdr:col>5</xdr:col>
      <xdr:colOff>547688</xdr:colOff>
      <xdr:row>48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1262062</xdr:colOff>
      <xdr:row>20</xdr:row>
      <xdr:rowOff>142875</xdr:rowOff>
    </xdr:from>
    <xdr:to>
      <xdr:col>12</xdr:col>
      <xdr:colOff>95249</xdr:colOff>
      <xdr:row>48</xdr:row>
      <xdr:rowOff>119061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50</xdr:row>
      <xdr:rowOff>142874</xdr:rowOff>
    </xdr:from>
    <xdr:to>
      <xdr:col>5</xdr:col>
      <xdr:colOff>471920</xdr:colOff>
      <xdr:row>78</xdr:row>
      <xdr:rowOff>142874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1143000</xdr:colOff>
      <xdr:row>50</xdr:row>
      <xdr:rowOff>119062</xdr:rowOff>
    </xdr:from>
    <xdr:to>
      <xdr:col>12</xdr:col>
      <xdr:colOff>285750</xdr:colOff>
      <xdr:row>78</xdr:row>
      <xdr:rowOff>23811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30.351097106482" createdVersion="3" refreshedVersion="3" minRefreshableVersion="3" recordCount="3">
  <cacheSource type="worksheet">
    <worksheetSource ref="A14:J17" sheet="dashboarding"/>
  </cacheSource>
  <cacheFields count="10">
    <cacheField name="DEPARTMENT" numFmtId="0">
      <sharedItems count="3">
        <s v="alpha"/>
        <s v="beta"/>
        <s v="gama"/>
      </sharedItems>
    </cacheField>
    <cacheField name="Sum of NET SALARY " numFmtId="42">
      <sharedItems containsSemiMixedTypes="0" containsString="0" containsNumber="1" minValue="1659157.8709677418" maxValue="2156312.6774193547"/>
    </cacheField>
    <cacheField name="Sum of BASIC SALARY" numFmtId="44">
      <sharedItems containsSemiMixedTypes="0" containsString="0" containsNumber="1" containsInteger="1" minValue="1103000" maxValue="1441000"/>
    </cacheField>
    <cacheField name="Sum of LEAVES" numFmtId="169">
      <sharedItems containsSemiMixedTypes="0" containsString="0" containsNumber="1" containsInteger="1" minValue="55" maxValue="70"/>
    </cacheField>
    <cacheField name="Sum of BONUS( 15%)" numFmtId="42">
      <sharedItems containsSemiMixedTypes="0" containsString="0" containsNumber="1" containsInteger="1" minValue="181995" maxValue="237765"/>
    </cacheField>
    <cacheField name="Sum of PF (12%)" numFmtId="42">
      <sharedItems containsSemiMixedTypes="0" containsString="0" containsNumber="1" containsInteger="1" minValue="145596" maxValue="190212"/>
    </cacheField>
    <cacheField name="Sum of DA (10%)" numFmtId="42">
      <sharedItems containsSemiMixedTypes="0" containsString="0" containsNumber="1" containsInteger="1" minValue="110300" maxValue="144100"/>
    </cacheField>
    <cacheField name="Sum of OVERTIME HOURS" numFmtId="170">
      <sharedItems containsSemiMixedTypes="0" containsString="0" containsNumber="1" containsInteger="1" minValue="142" maxValue="187"/>
    </cacheField>
    <cacheField name="Sum of OVERTIME SALARY" numFmtId="42">
      <sharedItems containsSemiMixedTypes="0" containsString="0" containsNumber="1" minValue="37205.645161290326" maxValue="73887.09677419356"/>
    </cacheField>
    <cacheField name="Sum of CONVEYANCE (5%)" numFmtId="42">
      <sharedItems containsSemiMixedTypes="0" containsString="0" containsNumber="1" containsInteger="1" minValue="55150" maxValue="72050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130.35109733796" createdVersion="3" refreshedVersion="3" minRefreshableVersion="3" recordCount="51">
  <cacheSource type="worksheet">
    <worksheetSource ref="A8:S59" sheet="PAYROLL"/>
  </cacheSource>
  <cacheFields count="19">
    <cacheField name="EMP ID" numFmtId="0">
      <sharedItems containsSemiMixedTypes="0" containsString="0" containsNumber="1" containsInteger="1" minValue="122401" maxValue="122451" count="51">
        <n v="122401"/>
        <n v="122402"/>
        <n v="122403"/>
        <n v="122404"/>
        <n v="122405"/>
        <n v="122406"/>
        <n v="122407"/>
        <n v="122408"/>
        <n v="122409"/>
        <n v="122410"/>
        <n v="122411"/>
        <n v="122412"/>
        <n v="122413"/>
        <n v="122414"/>
        <n v="122415"/>
        <n v="122416"/>
        <n v="122417"/>
        <n v="122418"/>
        <n v="122419"/>
        <n v="122420"/>
        <n v="122421"/>
        <n v="122422"/>
        <n v="122423"/>
        <n v="122424"/>
        <n v="122425"/>
        <n v="122426"/>
        <n v="122427"/>
        <n v="122428"/>
        <n v="122429"/>
        <n v="122430"/>
        <n v="122431"/>
        <n v="122432"/>
        <n v="122433"/>
        <n v="122434"/>
        <n v="122435"/>
        <n v="122436"/>
        <n v="122437"/>
        <n v="122438"/>
        <n v="122439"/>
        <n v="122440"/>
        <n v="122441"/>
        <n v="122442"/>
        <n v="122443"/>
        <n v="122444"/>
        <n v="122445"/>
        <n v="122446"/>
        <n v="122447"/>
        <n v="122448"/>
        <n v="122449"/>
        <n v="122450"/>
        <n v="122451"/>
      </sharedItems>
    </cacheField>
    <cacheField name="NAME" numFmtId="0">
      <sharedItems count="50">
        <s v="AMAN "/>
        <s v="ROACK"/>
        <s v="TAMAN"/>
        <s v="SANDY"/>
        <s v="CHUPTU"/>
        <s v="WARAN"/>
        <s v="PURAT"/>
        <s v="RESW"/>
        <s v="TUIST"/>
        <s v="LOIP"/>
        <s v="JIOK"/>
        <s v="JOLI"/>
        <s v="GION"/>
        <s v="MIUS"/>
        <s v="RESTEW"/>
        <s v="FENDI"/>
        <s v="HENKER"/>
        <s v="TESHOKA"/>
        <s v="TERANK"/>
        <s v="OIUY"/>
        <s v="TYERI"/>
        <s v="JUNSTI"/>
        <s v="HUNK"/>
        <s v="IONW"/>
        <s v="ERT"/>
        <s v="YUIO"/>
        <s v="POIJ"/>
        <s v="KLPM"/>
        <s v="RENS"/>
        <s v="TERN"/>
        <s v="UYSTEN"/>
        <s v="ASTO"/>
        <s v="NIKO"/>
        <s v="LIMO"/>
        <s v="LINP"/>
        <s v="KINO"/>
        <s v="FERO"/>
        <s v="GUVE"/>
        <s v="GHIT"/>
        <s v="JIKL"/>
        <s v="SDERT"/>
        <s v="CBNM"/>
        <s v="HENR"/>
        <s v="GUET"/>
        <s v="HIM"/>
        <s v="HIS"/>
        <s v="DICTO"/>
        <s v="PONDS"/>
        <s v="TERSI"/>
        <s v="WAMP"/>
      </sharedItems>
    </cacheField>
    <cacheField name="FATHER'S NAME" numFmtId="0">
      <sharedItems/>
    </cacheField>
    <cacheField name="DEPARTMENT" numFmtId="0">
      <sharedItems count="3">
        <s v="beta"/>
        <s v="alpha"/>
        <s v="gama"/>
      </sharedItems>
    </cacheField>
    <cacheField name="ACCOUNT NUMBER" numFmtId="0">
      <sharedItems containsSemiMixedTypes="0" containsString="0" containsNumber="1" containsInteger="1" minValue="1224140001" maxValue="1224140051" count="51">
        <n v="1224140001"/>
        <n v="1224140002"/>
        <n v="1224140003"/>
        <n v="1224140004"/>
        <n v="1224140005"/>
        <n v="1224140006"/>
        <n v="1224140007"/>
        <n v="1224140008"/>
        <n v="1224140009"/>
        <n v="1224140010"/>
        <n v="1224140011"/>
        <n v="1224140012"/>
        <n v="1224140013"/>
        <n v="1224140014"/>
        <n v="1224140015"/>
        <n v="1224140016"/>
        <n v="1224140017"/>
        <n v="1224140018"/>
        <n v="1224140019"/>
        <n v="1224140020"/>
        <n v="1224140021"/>
        <n v="1224140022"/>
        <n v="1224140023"/>
        <n v="1224140024"/>
        <n v="1224140025"/>
        <n v="1224140026"/>
        <n v="1224140027"/>
        <n v="1224140028"/>
        <n v="1224140029"/>
        <n v="1224140030"/>
        <n v="1224140031"/>
        <n v="1224140032"/>
        <n v="1224140033"/>
        <n v="1224140034"/>
        <n v="1224140035"/>
        <n v="1224140036"/>
        <n v="1224140037"/>
        <n v="1224140038"/>
        <n v="1224140039"/>
        <n v="1224140040"/>
        <n v="1224140041"/>
        <n v="1224140042"/>
        <n v="1224140043"/>
        <n v="1224140044"/>
        <n v="1224140045"/>
        <n v="1224140046"/>
        <n v="1224140047"/>
        <n v="1224140048"/>
        <n v="1224140049"/>
        <n v="1224140050"/>
        <n v="1224140051"/>
      </sharedItems>
    </cacheField>
    <cacheField name="BASIC SALARY" numFmtId="166">
      <sharedItems containsSemiMixedTypes="0" containsString="0" containsNumber="1" containsInteger="1" minValue="20000" maxValue="245000"/>
    </cacheField>
    <cacheField name="HRA (40%)" numFmtId="166">
      <sharedItems containsSemiMixedTypes="0" containsString="0" containsNumber="1" containsInteger="1" minValue="8000" maxValue="98000"/>
    </cacheField>
    <cacheField name="DA (10%)" numFmtId="166">
      <sharedItems containsSemiMixedTypes="0" containsString="0" containsNumber="1" containsInteger="1" minValue="2000" maxValue="24500"/>
    </cacheField>
    <cacheField name="CONVEYANCE (5%)" numFmtId="166">
      <sharedItems containsSemiMixedTypes="0" containsString="0" containsNumber="1" containsInteger="1" minValue="1000" maxValue="12250"/>
    </cacheField>
    <cacheField name="OVERTIME HOURS" numFmtId="164">
      <sharedItems containsSemiMixedTypes="0" containsString="0" containsNumber="1" containsInteger="1" minValue="1" maxValue="34"/>
    </cacheField>
    <cacheField name="RATE/HR" numFmtId="166">
      <sharedItems containsSemiMixedTypes="0" containsString="0" containsNumber="1" minValue="80.645161290322577" maxValue="987.90322580645159"/>
    </cacheField>
    <cacheField name="OVERTIME SALARY" numFmtId="165">
      <sharedItems containsSemiMixedTypes="0" containsString="0" containsNumber="1" minValue="120.96774193548387" maxValue="16693.548387096773"/>
    </cacheField>
    <cacheField name="BONUS( 15%)" numFmtId="165">
      <sharedItems containsSemiMixedTypes="0" containsString="0" containsNumber="1" containsInteger="1" minValue="3300" maxValue="40425"/>
    </cacheField>
    <cacheField name="LEAVES" numFmtId="167">
      <sharedItems containsSemiMixedTypes="0" containsString="0" containsNumber="1" containsInteger="1" minValue="1" maxValue="9"/>
    </cacheField>
    <cacheField name="DEDUCTIONS FOR LEAVES" numFmtId="8">
      <sharedItems containsSemiMixedTypes="0" containsString="0" containsNumber="1" minValue="806.45161290322585" maxValue="39516.129032258061"/>
    </cacheField>
    <cacheField name="GROSS SALARY" numFmtId="165">
      <sharedItems containsSemiMixedTypes="0" containsString="0" containsNumber="1" minValue="32445.16129032258" maxValue="389550"/>
    </cacheField>
    <cacheField name="PF (12%)" numFmtId="166">
      <sharedItems containsSemiMixedTypes="0" containsString="0" containsNumber="1" containsInteger="1" minValue="2640" maxValue="32340"/>
    </cacheField>
    <cacheField name="MEDICLAIM (500) " numFmtId="166">
      <sharedItems containsSemiMixedTypes="0" containsString="0" containsNumber="1" containsInteger="1" minValue="500" maxValue="500"/>
    </cacheField>
    <cacheField name="NET SALARY " numFmtId="166">
      <sharedItems containsSemiMixedTypes="0" containsString="0" containsNumber="1" minValue="29305.16129032258" maxValue="35671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2156312.6774193547"/>
    <n v="1441000"/>
    <n v="70"/>
    <n v="237765"/>
    <n v="190212"/>
    <n v="144100"/>
    <n v="187"/>
    <n v="73887.09677419356"/>
    <n v="72050"/>
  </r>
  <r>
    <x v="1"/>
    <n v="1659157.8709677418"/>
    <n v="1103000"/>
    <n v="55"/>
    <n v="181995"/>
    <n v="145596"/>
    <n v="110300"/>
    <n v="142"/>
    <n v="37205.645161290326"/>
    <n v="55150"/>
  </r>
  <r>
    <x v="2"/>
    <n v="1759885.9032258065"/>
    <n v="1181000"/>
    <n v="61"/>
    <n v="194865"/>
    <n v="155892"/>
    <n v="118100"/>
    <n v="157"/>
    <n v="38927.419354838705"/>
    <n v="590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x v="0"/>
    <x v="0"/>
    <s v="DESHRAJ"/>
    <x v="0"/>
    <x v="0"/>
    <n v="150000"/>
    <n v="60000"/>
    <n v="15000"/>
    <n v="7500"/>
    <n v="4"/>
    <n v="604.83870967741939"/>
    <n v="2419.3548387096776"/>
    <n v="24750"/>
    <n v="3"/>
    <n v="14516.129032258064"/>
    <n v="245153.22580645161"/>
    <n v="19800"/>
    <n v="500"/>
    <n v="224853.22580645161"/>
  </r>
  <r>
    <x v="1"/>
    <x v="1"/>
    <s v="RAM"/>
    <x v="1"/>
    <x v="1"/>
    <n v="20000"/>
    <n v="8000"/>
    <n v="2000"/>
    <n v="1000"/>
    <n v="9"/>
    <n v="80.645161290322577"/>
    <n v="725.80645161290317"/>
    <n v="3300"/>
    <n v="4"/>
    <n v="2580.6451612903224"/>
    <n v="32445.16129032258"/>
    <n v="2640"/>
    <n v="500"/>
    <n v="29305.16129032258"/>
  </r>
  <r>
    <x v="2"/>
    <x v="2"/>
    <s v="SHYAM"/>
    <x v="1"/>
    <x v="2"/>
    <n v="176000"/>
    <n v="70400"/>
    <n v="17600"/>
    <n v="8800"/>
    <n v="20"/>
    <n v="709.67741935483866"/>
    <n v="14193.548387096773"/>
    <n v="29040"/>
    <n v="5"/>
    <n v="28387.096774193546"/>
    <n v="287646.45161290327"/>
    <n v="23232"/>
    <n v="500"/>
    <n v="263914.45161290327"/>
  </r>
  <r>
    <x v="3"/>
    <x v="3"/>
    <s v="INDER"/>
    <x v="1"/>
    <x v="3"/>
    <n v="43000"/>
    <n v="17200"/>
    <n v="4300"/>
    <n v="2150"/>
    <n v="13"/>
    <n v="173.38709677419354"/>
    <n v="2254.0322580645161"/>
    <n v="7095"/>
    <n v="6"/>
    <n v="8322.5806451612898"/>
    <n v="67676.451612903227"/>
    <n v="5676"/>
    <n v="500"/>
    <n v="61500.451612903227"/>
  </r>
  <r>
    <x v="4"/>
    <x v="4"/>
    <s v="PAVOR"/>
    <x v="0"/>
    <x v="4"/>
    <n v="66000"/>
    <n v="26400"/>
    <n v="6600"/>
    <n v="3300"/>
    <n v="12"/>
    <n v="266.12903225806451"/>
    <n v="3193.5483870967741"/>
    <n v="10890"/>
    <n v="7"/>
    <n v="14903.225806451614"/>
    <n v="101480.32258064515"/>
    <n v="8712"/>
    <n v="500"/>
    <n v="92268.322580645152"/>
  </r>
  <r>
    <x v="5"/>
    <x v="5"/>
    <s v="TORA"/>
    <x v="0"/>
    <x v="5"/>
    <n v="44000"/>
    <n v="17600"/>
    <n v="4400"/>
    <n v="2200"/>
    <n v="9"/>
    <n v="177.41935483870967"/>
    <n v="1596.7741935483871"/>
    <n v="7260"/>
    <n v="8"/>
    <n v="11354.838709677419"/>
    <n v="65701.93548387097"/>
    <n v="5808"/>
    <n v="500"/>
    <n v="59393.93548387097"/>
  </r>
  <r>
    <x v="6"/>
    <x v="6"/>
    <s v="MORA"/>
    <x v="0"/>
    <x v="6"/>
    <n v="65000"/>
    <n v="26000"/>
    <n v="6500"/>
    <n v="3250"/>
    <n v="32"/>
    <n v="262.09677419354841"/>
    <n v="8387.0967741935492"/>
    <n v="10725"/>
    <n v="9"/>
    <n v="18870.967741935485"/>
    <n v="100991.12903225806"/>
    <n v="8580"/>
    <n v="500"/>
    <n v="91911.129032258061"/>
  </r>
  <r>
    <x v="7"/>
    <x v="7"/>
    <s v="RORO"/>
    <x v="0"/>
    <x v="7"/>
    <n v="65000"/>
    <n v="26000"/>
    <n v="6500"/>
    <n v="3250"/>
    <n v="21"/>
    <n v="262.09677419354841"/>
    <n v="5504.032258064517"/>
    <n v="10725"/>
    <n v="2"/>
    <n v="4193.5483870967746"/>
    <n v="112785.48387096774"/>
    <n v="8580"/>
    <n v="500"/>
    <n v="103705.48387096774"/>
  </r>
  <r>
    <x v="8"/>
    <x v="8"/>
    <s v="SANDI"/>
    <x v="2"/>
    <x v="8"/>
    <n v="65000"/>
    <n v="26000"/>
    <n v="6500"/>
    <n v="3250"/>
    <n v="34"/>
    <n v="262.09677419354841"/>
    <n v="8911.2903225806458"/>
    <n v="10725"/>
    <n v="2"/>
    <n v="4193.5483870967746"/>
    <n v="116192.74193548388"/>
    <n v="8580"/>
    <n v="500"/>
    <n v="107112.74193548388"/>
  </r>
  <r>
    <x v="9"/>
    <x v="9"/>
    <s v="TIUSH"/>
    <x v="2"/>
    <x v="9"/>
    <n v="165000"/>
    <n v="66000"/>
    <n v="16500"/>
    <n v="8250"/>
    <n v="9"/>
    <n v="665.32258064516134"/>
    <n v="5987.9032258064517"/>
    <n v="27225"/>
    <n v="2"/>
    <n v="10645.161290322581"/>
    <n v="278317.74193548382"/>
    <n v="21780"/>
    <n v="500"/>
    <n v="256037.74193548382"/>
  </r>
  <r>
    <x v="10"/>
    <x v="10"/>
    <s v="PONTI"/>
    <x v="1"/>
    <x v="10"/>
    <n v="75000"/>
    <n v="30000"/>
    <n v="7500"/>
    <n v="3750"/>
    <n v="11"/>
    <n v="302.41935483870969"/>
    <n v="3326.6129032258068"/>
    <n v="12375"/>
    <n v="2"/>
    <n v="4838.7096774193551"/>
    <n v="127112.90322580647"/>
    <n v="9900"/>
    <n v="500"/>
    <n v="116712.90322580647"/>
  </r>
  <r>
    <x v="11"/>
    <x v="11"/>
    <s v="KIOTI"/>
    <x v="1"/>
    <x v="11"/>
    <n v="65000"/>
    <n v="26000"/>
    <n v="6500"/>
    <n v="3250"/>
    <n v="7"/>
    <n v="262.09677419354841"/>
    <n v="1834.677419354839"/>
    <n v="10725"/>
    <n v="2"/>
    <n v="4193.5483870967746"/>
    <n v="109116.12903225806"/>
    <n v="8580"/>
    <n v="500"/>
    <n v="100036.12903225806"/>
  </r>
  <r>
    <x v="12"/>
    <x v="12"/>
    <s v="ESTER"/>
    <x v="2"/>
    <x v="12"/>
    <n v="65000"/>
    <n v="26000"/>
    <n v="6500"/>
    <n v="3250"/>
    <n v="8"/>
    <n v="262.09677419354841"/>
    <n v="2096.7741935483873"/>
    <n v="10725"/>
    <n v="2"/>
    <n v="4193.5483870967746"/>
    <n v="109378.22580645162"/>
    <n v="8580"/>
    <n v="500"/>
    <n v="100298.22580645162"/>
  </r>
  <r>
    <x v="13"/>
    <x v="13"/>
    <s v="WEST"/>
    <x v="0"/>
    <x v="13"/>
    <n v="70000"/>
    <n v="28000"/>
    <n v="7000"/>
    <n v="3500"/>
    <n v="13"/>
    <n v="282.25806451612902"/>
    <n v="3669.3548387096771"/>
    <n v="11550"/>
    <n v="2"/>
    <n v="4516.1290322580644"/>
    <n v="119203.22580645162"/>
    <n v="9240"/>
    <n v="500"/>
    <n v="109463.22580645162"/>
  </r>
  <r>
    <x v="14"/>
    <x v="14"/>
    <s v="DESTER"/>
    <x v="1"/>
    <x v="14"/>
    <n v="65000"/>
    <n v="26000"/>
    <n v="6500"/>
    <n v="3250"/>
    <n v="14"/>
    <n v="262.09677419354841"/>
    <n v="3669.354838709678"/>
    <n v="10725"/>
    <n v="2"/>
    <n v="4193.5483870967746"/>
    <n v="110950.80645161291"/>
    <n v="8580"/>
    <n v="500"/>
    <n v="101870.80645161291"/>
  </r>
  <r>
    <x v="15"/>
    <x v="15"/>
    <s v="GRUND"/>
    <x v="1"/>
    <x v="15"/>
    <n v="56000"/>
    <n v="22400"/>
    <n v="5600"/>
    <n v="2800"/>
    <n v="7"/>
    <n v="225.80645161290323"/>
    <n v="1580.6451612903227"/>
    <n v="9240"/>
    <n v="2"/>
    <n v="3612.9032258064517"/>
    <n v="94007.741935483864"/>
    <n v="7392"/>
    <n v="500"/>
    <n v="86115.741935483864"/>
  </r>
  <r>
    <x v="16"/>
    <x v="16"/>
    <s v="KIOSH"/>
    <x v="1"/>
    <x v="16"/>
    <n v="56000"/>
    <n v="22400"/>
    <n v="5600"/>
    <n v="2800"/>
    <n v="8"/>
    <n v="225.80645161290323"/>
    <n v="1806.4516129032259"/>
    <n v="9240"/>
    <n v="5"/>
    <n v="9032.2580645161288"/>
    <n v="88814.193548387091"/>
    <n v="7392"/>
    <n v="500"/>
    <n v="80922.193548387091"/>
  </r>
  <r>
    <x v="17"/>
    <x v="17"/>
    <s v="KIMER"/>
    <x v="1"/>
    <x v="17"/>
    <n v="245000"/>
    <n v="98000"/>
    <n v="24500"/>
    <n v="12250"/>
    <n v="9"/>
    <n v="987.90322580645159"/>
    <n v="8891.1290322580644"/>
    <n v="40425"/>
    <n v="5"/>
    <n v="39516.129032258061"/>
    <n v="389550"/>
    <n v="32340"/>
    <n v="500"/>
    <n v="356710"/>
  </r>
  <r>
    <x v="18"/>
    <x v="18"/>
    <s v="STICKER"/>
    <x v="2"/>
    <x v="18"/>
    <n v="30000"/>
    <n v="12000"/>
    <n v="3000"/>
    <n v="1500"/>
    <n v="10"/>
    <n v="120.96774193548387"/>
    <n v="1209.6774193548388"/>
    <n v="4950"/>
    <n v="5"/>
    <n v="4838.7096774193551"/>
    <n v="47820.967741935485"/>
    <n v="3960"/>
    <n v="500"/>
    <n v="43360.967741935485"/>
  </r>
  <r>
    <x v="19"/>
    <x v="19"/>
    <s v="PONTU"/>
    <x v="2"/>
    <x v="19"/>
    <n v="40000"/>
    <n v="16000"/>
    <n v="4000"/>
    <n v="2000"/>
    <n v="11"/>
    <n v="161.29032258064515"/>
    <n v="1774.1935483870966"/>
    <n v="6600"/>
    <n v="5"/>
    <n v="6451.6129032258059"/>
    <n v="63922.580645161288"/>
    <n v="5280"/>
    <n v="500"/>
    <n v="58142.580645161288"/>
  </r>
  <r>
    <x v="20"/>
    <x v="20"/>
    <s v="MANTI"/>
    <x v="2"/>
    <x v="20"/>
    <n v="30000"/>
    <n v="12000"/>
    <n v="3000"/>
    <n v="1500"/>
    <n v="12"/>
    <n v="120.96774193548387"/>
    <n v="1451.6129032258063"/>
    <n v="4950"/>
    <n v="5"/>
    <n v="4838.7096774193551"/>
    <n v="48062.903225806447"/>
    <n v="3960"/>
    <n v="500"/>
    <n v="43602.903225806447"/>
  </r>
  <r>
    <x v="21"/>
    <x v="21"/>
    <s v="ESTER"/>
    <x v="2"/>
    <x v="21"/>
    <n v="60000"/>
    <n v="24000"/>
    <n v="6000"/>
    <n v="3000"/>
    <n v="13"/>
    <n v="241.93548387096774"/>
    <n v="3145.1612903225805"/>
    <n v="9900"/>
    <n v="5"/>
    <n v="9677.4193548387102"/>
    <n v="96367.741935483864"/>
    <n v="7920"/>
    <n v="500"/>
    <n v="87947.741935483864"/>
  </r>
  <r>
    <x v="22"/>
    <x v="22"/>
    <s v="WOANR"/>
    <x v="2"/>
    <x v="22"/>
    <n v="25000"/>
    <n v="10000"/>
    <n v="2500"/>
    <n v="1250"/>
    <n v="14"/>
    <n v="100.80645161290323"/>
    <n v="1411.2903225806454"/>
    <n v="4125"/>
    <n v="1"/>
    <n v="806.45161290322585"/>
    <n v="43479.838709677417"/>
    <n v="3300"/>
    <n v="500"/>
    <n v="39679.838709677417"/>
  </r>
  <r>
    <x v="23"/>
    <x v="23"/>
    <s v="KTER"/>
    <x v="2"/>
    <x v="23"/>
    <n v="40000"/>
    <n v="16000"/>
    <n v="4000"/>
    <n v="2000"/>
    <n v="15"/>
    <n v="161.29032258064515"/>
    <n v="2419.3548387096771"/>
    <n v="6600"/>
    <n v="2"/>
    <n v="2580.6451612903224"/>
    <n v="68438.709677419349"/>
    <n v="5280"/>
    <n v="500"/>
    <n v="62658.709677419349"/>
  </r>
  <r>
    <x v="24"/>
    <x v="24"/>
    <s v="GERT"/>
    <x v="1"/>
    <x v="24"/>
    <n v="150000"/>
    <n v="60000"/>
    <n v="15000"/>
    <n v="7500"/>
    <n v="16"/>
    <n v="604.83870967741939"/>
    <n v="9677.4193548387102"/>
    <n v="24750"/>
    <n v="3"/>
    <n v="14516.129032258064"/>
    <n v="252411.29032258061"/>
    <n v="19800"/>
    <n v="500"/>
    <n v="232111.29032258061"/>
  </r>
  <r>
    <x v="25"/>
    <x v="25"/>
    <s v="KERT"/>
    <x v="1"/>
    <x v="25"/>
    <n v="45000"/>
    <n v="18000"/>
    <n v="4500"/>
    <n v="2250"/>
    <n v="17"/>
    <n v="181.45161290322579"/>
    <n v="3084.6774193548385"/>
    <n v="7425"/>
    <n v="4"/>
    <n v="5806.4516129032254"/>
    <n v="74453.225806451606"/>
    <n v="5940"/>
    <n v="500"/>
    <n v="68013.225806451606"/>
  </r>
  <r>
    <x v="26"/>
    <x v="26"/>
    <s v="FERT"/>
    <x v="1"/>
    <x v="26"/>
    <n v="230000"/>
    <n v="92000"/>
    <n v="23000"/>
    <n v="11500"/>
    <n v="18"/>
    <n v="927.41935483870964"/>
    <n v="16693.548387096773"/>
    <n v="37950"/>
    <n v="5"/>
    <n v="37096.774193548386"/>
    <n v="374046.77419354842"/>
    <n v="30360"/>
    <n v="500"/>
    <n v="343186.77419354842"/>
  </r>
  <r>
    <x v="27"/>
    <x v="27"/>
    <s v="DERT"/>
    <x v="1"/>
    <x v="27"/>
    <n v="30000"/>
    <n v="12000"/>
    <n v="3000"/>
    <n v="1500"/>
    <n v="1"/>
    <n v="120.96774193548387"/>
    <n v="120.96774193548387"/>
    <n v="4950"/>
    <n v="6"/>
    <n v="5806.4516129032254"/>
    <n v="45764.516129032258"/>
    <n v="3960"/>
    <n v="500"/>
    <n v="41304.516129032258"/>
  </r>
  <r>
    <x v="28"/>
    <x v="28"/>
    <s v="NERT"/>
    <x v="1"/>
    <x v="28"/>
    <n v="30000"/>
    <n v="12000"/>
    <n v="3000"/>
    <n v="1500"/>
    <n v="5"/>
    <n v="120.96774193548387"/>
    <n v="604.83870967741939"/>
    <n v="4950"/>
    <n v="7"/>
    <n v="6774.1935483870966"/>
    <n v="45280.645161290318"/>
    <n v="3960"/>
    <n v="500"/>
    <n v="40820.645161290318"/>
  </r>
  <r>
    <x v="29"/>
    <x v="29"/>
    <s v="LERTIOS"/>
    <x v="1"/>
    <x v="29"/>
    <n v="30000"/>
    <n v="12000"/>
    <n v="3000"/>
    <n v="1500"/>
    <n v="6"/>
    <n v="120.96774193548387"/>
    <n v="725.80645161290317"/>
    <n v="4950"/>
    <n v="3"/>
    <n v="2903.2258064516127"/>
    <n v="49272.580645161288"/>
    <n v="3960"/>
    <n v="500"/>
    <n v="44812.580645161288"/>
  </r>
  <r>
    <x v="30"/>
    <x v="30"/>
    <s v="HAPY"/>
    <x v="1"/>
    <x v="30"/>
    <n v="30000"/>
    <n v="12000"/>
    <n v="3000"/>
    <n v="1500"/>
    <n v="7"/>
    <n v="120.96774193548387"/>
    <n v="846.77419354838707"/>
    <n v="4950"/>
    <n v="3"/>
    <n v="2903.2258064516127"/>
    <n v="49393.548387096773"/>
    <n v="3960"/>
    <n v="500"/>
    <n v="44933.548387096773"/>
  </r>
  <r>
    <x v="31"/>
    <x v="31"/>
    <s v="HANGER"/>
    <x v="1"/>
    <x v="31"/>
    <n v="30000"/>
    <n v="12000"/>
    <n v="3000"/>
    <n v="1500"/>
    <n v="8"/>
    <n v="120.96774193548387"/>
    <n v="967.74193548387098"/>
    <n v="4950"/>
    <n v="3"/>
    <n v="2903.2258064516127"/>
    <n v="49514.516129032258"/>
    <n v="3960"/>
    <n v="500"/>
    <n v="45054.516129032258"/>
  </r>
  <r>
    <x v="32"/>
    <x v="32"/>
    <s v="LIOP"/>
    <x v="0"/>
    <x v="32"/>
    <n v="30000"/>
    <n v="12000"/>
    <n v="3000"/>
    <n v="1500"/>
    <n v="9"/>
    <n v="120.96774193548387"/>
    <n v="1088.7096774193549"/>
    <n v="4950"/>
    <n v="3"/>
    <n v="2903.2258064516127"/>
    <n v="49635.483870967742"/>
    <n v="3960"/>
    <n v="500"/>
    <n v="45175.483870967742"/>
  </r>
  <r>
    <x v="33"/>
    <x v="33"/>
    <s v="JIOK"/>
    <x v="0"/>
    <x v="33"/>
    <n v="65000"/>
    <n v="26000"/>
    <n v="6500"/>
    <n v="3250"/>
    <n v="10"/>
    <n v="262.09677419354841"/>
    <n v="2620.9677419354839"/>
    <n v="10725"/>
    <n v="3"/>
    <n v="6290.3225806451619"/>
    <n v="107805.64516129032"/>
    <n v="8580"/>
    <n v="500"/>
    <n v="98725.645161290318"/>
  </r>
  <r>
    <x v="34"/>
    <x v="34"/>
    <s v="DESWR"/>
    <x v="1"/>
    <x v="34"/>
    <n v="65000"/>
    <n v="26000"/>
    <n v="6500"/>
    <n v="3250"/>
    <n v="11"/>
    <n v="262.09677419354841"/>
    <n v="2883.0645161290327"/>
    <n v="10725"/>
    <n v="3"/>
    <n v="6290.3225806451619"/>
    <n v="108067.74193548386"/>
    <n v="8580"/>
    <n v="500"/>
    <n v="98987.741935483864"/>
  </r>
  <r>
    <x v="35"/>
    <x v="35"/>
    <s v="HEMER"/>
    <x v="0"/>
    <x v="35"/>
    <n v="65000"/>
    <n v="26000"/>
    <n v="6500"/>
    <n v="3250"/>
    <n v="12"/>
    <n v="262.09677419354841"/>
    <n v="3145.161290322581"/>
    <n v="10725"/>
    <n v="3"/>
    <n v="6290.3225806451619"/>
    <n v="108329.83870967741"/>
    <n v="8580"/>
    <n v="500"/>
    <n v="99249.838709677409"/>
  </r>
  <r>
    <x v="36"/>
    <x v="36"/>
    <s v="KEMRT"/>
    <x v="0"/>
    <x v="36"/>
    <n v="65000"/>
    <n v="26000"/>
    <n v="6500"/>
    <n v="3250"/>
    <n v="2"/>
    <n v="262.09677419354841"/>
    <n v="524.19354838709683"/>
    <n v="10725"/>
    <n v="2"/>
    <n v="4193.5483870967746"/>
    <n v="107805.64516129032"/>
    <n v="8580"/>
    <n v="500"/>
    <n v="98725.645161290318"/>
  </r>
  <r>
    <x v="37"/>
    <x v="37"/>
    <s v="HERTY"/>
    <x v="0"/>
    <x v="37"/>
    <n v="65000"/>
    <n v="26000"/>
    <n v="6500"/>
    <n v="3250"/>
    <n v="3"/>
    <n v="262.09677419354841"/>
    <n v="786.29032258064524"/>
    <n v="10725"/>
    <n v="2"/>
    <n v="4193.5483870967746"/>
    <n v="108067.74193548388"/>
    <n v="8580"/>
    <n v="500"/>
    <n v="98987.741935483878"/>
  </r>
  <r>
    <x v="38"/>
    <x v="38"/>
    <s v="KERTI"/>
    <x v="0"/>
    <x v="38"/>
    <n v="65000"/>
    <n v="26000"/>
    <n v="6500"/>
    <n v="3250"/>
    <n v="3"/>
    <n v="262.09677419354841"/>
    <n v="786.29032258064524"/>
    <n v="10725"/>
    <n v="2"/>
    <n v="4193.5483870967746"/>
    <n v="108067.74193548388"/>
    <n v="8580"/>
    <n v="500"/>
    <n v="98987.741935483878"/>
  </r>
  <r>
    <x v="39"/>
    <x v="39"/>
    <s v="ASTRE"/>
    <x v="0"/>
    <x v="39"/>
    <n v="120000"/>
    <n v="48000"/>
    <n v="12000"/>
    <n v="6000"/>
    <n v="3"/>
    <n v="483.87096774193549"/>
    <n v="1451.6129032258063"/>
    <n v="19800"/>
    <n v="2"/>
    <n v="7741.9354838709678"/>
    <n v="199509.67741935485"/>
    <n v="15840"/>
    <n v="500"/>
    <n v="183169.67741935485"/>
  </r>
  <r>
    <x v="40"/>
    <x v="40"/>
    <s v="KESTRE"/>
    <x v="2"/>
    <x v="40"/>
    <n v="35000"/>
    <n v="14000"/>
    <n v="3500"/>
    <n v="1750"/>
    <n v="3"/>
    <n v="141.12903225806451"/>
    <n v="423.38709677419354"/>
    <n v="5775"/>
    <n v="2"/>
    <n v="2258.0645161290322"/>
    <n v="58190.322580645166"/>
    <n v="4620"/>
    <n v="500"/>
    <n v="53070.322580645166"/>
  </r>
  <r>
    <x v="41"/>
    <x v="41"/>
    <s v="JBGII"/>
    <x v="0"/>
    <x v="41"/>
    <n v="56000"/>
    <n v="22400"/>
    <n v="5600"/>
    <n v="2800"/>
    <n v="3"/>
    <n v="225.80645161290323"/>
    <n v="677.41935483870975"/>
    <n v="9240"/>
    <n v="2"/>
    <n v="3612.9032258064517"/>
    <n v="93104.516129032258"/>
    <n v="7392"/>
    <n v="500"/>
    <n v="85212.516129032258"/>
  </r>
  <r>
    <x v="42"/>
    <x v="40"/>
    <s v="SDJJB"/>
    <x v="0"/>
    <x v="42"/>
    <n v="78000"/>
    <n v="31200"/>
    <n v="7800"/>
    <n v="3900"/>
    <n v="3"/>
    <n v="314.51612903225805"/>
    <n v="943.54838709677415"/>
    <n v="12870"/>
    <n v="2"/>
    <n v="5032.2580645161288"/>
    <n v="129681.29032258067"/>
    <n v="10296"/>
    <n v="500"/>
    <n v="118885.29032258067"/>
  </r>
  <r>
    <x v="43"/>
    <x v="42"/>
    <s v="NKNI"/>
    <x v="0"/>
    <x v="43"/>
    <n v="34000"/>
    <n v="13600"/>
    <n v="3400"/>
    <n v="1700"/>
    <n v="3"/>
    <n v="137.09677419354838"/>
    <n v="411.29032258064512"/>
    <n v="5610"/>
    <n v="3"/>
    <n v="3290.322580645161"/>
    <n v="55430.967741935485"/>
    <n v="4488"/>
    <n v="500"/>
    <n v="50442.967741935485"/>
  </r>
  <r>
    <x v="44"/>
    <x v="43"/>
    <s v="KIOSN"/>
    <x v="2"/>
    <x v="44"/>
    <n v="125000"/>
    <n v="50000"/>
    <n v="12500"/>
    <n v="6250"/>
    <n v="4"/>
    <n v="504.03225806451616"/>
    <n v="2016.1290322580646"/>
    <n v="20625"/>
    <n v="4"/>
    <n v="16129.032258064517"/>
    <n v="200262.09677419355"/>
    <n v="16500"/>
    <n v="500"/>
    <n v="183262.09677419355"/>
  </r>
  <r>
    <x v="45"/>
    <x v="44"/>
    <s v="JBTHU"/>
    <x v="2"/>
    <x v="45"/>
    <n v="230000"/>
    <n v="92000"/>
    <n v="23000"/>
    <n v="11500"/>
    <n v="4"/>
    <n v="927.41935483870964"/>
    <n v="3709.6774193548385"/>
    <n v="37950"/>
    <n v="5"/>
    <n v="37096.774193548386"/>
    <n v="361062.90322580648"/>
    <n v="30360"/>
    <n v="500"/>
    <n v="330202.90322580648"/>
  </r>
  <r>
    <x v="46"/>
    <x v="45"/>
    <s v="HGYU"/>
    <x v="2"/>
    <x v="46"/>
    <n v="56000"/>
    <n v="22400"/>
    <n v="5600"/>
    <n v="2800"/>
    <n v="4"/>
    <n v="225.80645161290323"/>
    <n v="903.22580645161293"/>
    <n v="9240"/>
    <n v="6"/>
    <n v="10838.709677419356"/>
    <n v="86104.516129032243"/>
    <n v="7392"/>
    <n v="500"/>
    <n v="78212.516129032243"/>
  </r>
  <r>
    <x v="47"/>
    <x v="46"/>
    <s v="NBKC"/>
    <x v="2"/>
    <x v="47"/>
    <n v="80000"/>
    <n v="32000"/>
    <n v="8000"/>
    <n v="4000"/>
    <n v="4"/>
    <n v="322.58064516129031"/>
    <n v="1290.3225806451612"/>
    <n v="13200"/>
    <n v="3"/>
    <n v="7741.9354838709678"/>
    <n v="130748.38709677418"/>
    <n v="10560"/>
    <n v="500"/>
    <n v="119688.38709677418"/>
  </r>
  <r>
    <x v="48"/>
    <x v="47"/>
    <s v="KJBU"/>
    <x v="2"/>
    <x v="48"/>
    <n v="56000"/>
    <n v="22400"/>
    <n v="5600"/>
    <n v="2800"/>
    <n v="4"/>
    <n v="225.80645161290323"/>
    <n v="903.22580645161293"/>
    <n v="9240"/>
    <n v="2"/>
    <n v="3612.9032258064517"/>
    <n v="93330.322580645152"/>
    <n v="7392"/>
    <n v="500"/>
    <n v="85438.322580645152"/>
  </r>
  <r>
    <x v="49"/>
    <x v="48"/>
    <s v="FBGHY"/>
    <x v="2"/>
    <x v="49"/>
    <n v="45000"/>
    <n v="18000"/>
    <n v="4500"/>
    <n v="2250"/>
    <n v="4"/>
    <n v="181.45161290322579"/>
    <n v="725.80645161290317"/>
    <n v="7425"/>
    <n v="9"/>
    <n v="13064.516129032258"/>
    <n v="64836.290322580651"/>
    <n v="5940"/>
    <n v="500"/>
    <n v="58396.290322580651"/>
  </r>
  <r>
    <x v="50"/>
    <x v="49"/>
    <s v="EJG"/>
    <x v="2"/>
    <x v="50"/>
    <n v="34000"/>
    <n v="13600"/>
    <n v="3400"/>
    <n v="1700"/>
    <n v="4"/>
    <n v="137.09677419354838"/>
    <n v="548.38709677419354"/>
    <n v="5610"/>
    <n v="1"/>
    <n v="1096.7741935483871"/>
    <n v="57761.61290322581"/>
    <n v="4488"/>
    <n v="500"/>
    <n v="52773.61290322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:D6" firstHeaderRow="1" firstDataRow="2" firstDataCol="1"/>
  <pivotFields count="10">
    <pivotField axis="axisRow" showAll="0">
      <items count="4">
        <item x="0"/>
        <item x="1"/>
        <item x="2"/>
        <item t="default"/>
      </items>
    </pivotField>
    <pivotField dataField="1" showAll="0"/>
    <pivotField numFmtId="44" showAll="0" defaultSubtotal="0"/>
    <pivotField showAll="0"/>
    <pivotField dataField="1" showAll="0"/>
    <pivotField showAll="0"/>
    <pivotField showAll="0"/>
    <pivotField numFmtId="170" showAll="0" defaultSubtota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um of BONUS( 15%)" fld="4" baseField="0" baseItem="0"/>
    <dataField name="Sum of Sum of NET SALARY " fld="1" baseField="0" baseItem="0"/>
    <dataField name="Sum of Sum of OVERTIME SALARY" fld="8" baseField="0" baseItem="0"/>
  </dataFields>
  <chartFormats count="6"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HR  PAYROLL  DASHBOARD FOR JANUARY 2026" updatedVersion="3" minRefreshableVersion="3" showCalcMbrs="0" useAutoFormatting="1" itemPrintTitles="1" createdVersion="3" indent="0" compact="0" outline="1" outlineData="1" compactData="0" multipleFieldFilters="0" chartFormat="2">
  <location ref="A13:L18" firstHeaderRow="1" firstDataRow="2" firstDataCol="1" rowPageCount="3" colPageCount="1"/>
  <pivotFields count="19">
    <pivotField axis="axisPage" compact="0" multipleItemSelectionAllowed="1" showAll="0" insertBlankRow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Page" compact="0" showAll="0" insertBlankRow="1">
      <items count="51">
        <item x="0"/>
        <item x="31"/>
        <item x="41"/>
        <item x="4"/>
        <item x="46"/>
        <item x="24"/>
        <item x="15"/>
        <item x="36"/>
        <item x="38"/>
        <item x="12"/>
        <item x="43"/>
        <item x="37"/>
        <item x="16"/>
        <item x="42"/>
        <item x="44"/>
        <item x="45"/>
        <item x="22"/>
        <item x="23"/>
        <item x="39"/>
        <item x="10"/>
        <item x="11"/>
        <item x="21"/>
        <item x="35"/>
        <item x="27"/>
        <item x="33"/>
        <item x="34"/>
        <item x="9"/>
        <item x="13"/>
        <item x="32"/>
        <item x="19"/>
        <item x="26"/>
        <item x="47"/>
        <item x="6"/>
        <item x="28"/>
        <item x="14"/>
        <item x="7"/>
        <item x="1"/>
        <item x="3"/>
        <item x="40"/>
        <item x="2"/>
        <item x="18"/>
        <item x="29"/>
        <item x="48"/>
        <item x="17"/>
        <item x="8"/>
        <item x="20"/>
        <item x="30"/>
        <item x="49"/>
        <item x="5"/>
        <item x="25"/>
        <item t="default"/>
      </items>
    </pivotField>
    <pivotField compact="0" showAll="0" insertBlankRow="1"/>
    <pivotField axis="axisRow" compact="0" showAll="0" insertBlankRow="1">
      <items count="4">
        <item x="1"/>
        <item x="0"/>
        <item x="2"/>
        <item t="default"/>
      </items>
    </pivotField>
    <pivotField axis="axisPage" compact="0" showAll="0" insertBlankRow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dataField="1" compact="0" numFmtId="166" showAll="0" insertBlankRow="1"/>
    <pivotField dataField="1" compact="0" numFmtId="166" showAll="0" insertBlankRow="1"/>
    <pivotField dataField="1" compact="0" numFmtId="166" showAll="0" insertBlankRow="1"/>
    <pivotField dataField="1" compact="0" numFmtId="166" showAll="0" insertBlankRow="1"/>
    <pivotField dataField="1" compact="0" numFmtId="164" showAll="0" insertBlankRow="1"/>
    <pivotField compact="0" numFmtId="166" showAll="0" insertBlankRow="1"/>
    <pivotField dataField="1" compact="0" numFmtId="165" showAll="0" insertBlankRow="1"/>
    <pivotField dataField="1" compact="0" numFmtId="165" showAll="0" insertBlankRow="1"/>
    <pivotField dataField="1" compact="0" numFmtId="167" showAll="0" insertBlankRow="1"/>
    <pivotField compact="0" numFmtId="8" showAll="0" insertBlankRow="1"/>
    <pivotField compact="0" numFmtId="165" showAll="0" insertBlankRow="1"/>
    <pivotField dataField="1" compact="0" numFmtId="166" showAll="0" insertBlankRow="1"/>
    <pivotField dataField="1" compact="0" numFmtId="166" showAll="0" insertBlankRow="1"/>
    <pivotField dataField="1" compact="0" numFmtId="166" showAll="0" insertBlankRow="1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3">
    <pageField fld="0" hier="-1"/>
    <pageField fld="4" hier="-1"/>
    <pageField fld="1" hier="-1"/>
  </pageFields>
  <dataFields count="11">
    <dataField name="Sum of NET SALARY " fld="18" baseField="0" baseItem="0" numFmtId="42"/>
    <dataField name="Sum of BASIC SALARY" fld="5" baseField="0" baseItem="0" numFmtId="44"/>
    <dataField name="Sum of LEAVES" fld="13" baseField="0" baseItem="0"/>
    <dataField name="Sum of BONUS( 15%)" fld="12" baseField="0" baseItem="0" numFmtId="42"/>
    <dataField name="Sum of PF (12%)" fld="16" baseField="0" baseItem="0" numFmtId="42"/>
    <dataField name="Sum of DA (10%)" fld="7" baseField="0" baseItem="0" numFmtId="42"/>
    <dataField name="Sum of OVERTIME HOURS" fld="9" baseField="0" baseItem="0" numFmtId="170"/>
    <dataField name="Sum of OVERTIME SALARY" fld="11" baseField="0" baseItem="0" numFmtId="42"/>
    <dataField name="Sum of CONVEYANCE (5%)" fld="8" baseField="0" baseItem="0" numFmtId="42"/>
    <dataField name="Sum of HRA (40%)" fld="6" baseField="0" baseItem="0" numFmtId="42"/>
    <dataField name="Sum of MEDICLAIM (500) " fld="17" baseField="0" baseItem="0" numFmtId="42"/>
  </dataFields>
  <formats count="155">
    <format dxfId="154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  <format dxfId="153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  <format dxfId="152">
      <pivotArea field="-2" type="button" dataOnly="0" labelOnly="1" outline="0" axis="axisCol" fieldPosition="0"/>
    </format>
    <format dxfId="151">
      <pivotArea field="-2" type="button" dataOnly="0" labelOnly="1" outline="0" axis="axisCol" fieldPosition="0"/>
    </format>
    <format dxfId="150">
      <pivotArea field="0" type="button" dataOnly="0" labelOnly="1" outline="0" axis="axisPage" fieldPosition="0"/>
    </format>
    <format dxfId="149">
      <pivotArea dataOnly="0" labelOnly="1" outline="0" fieldPosition="0">
        <references count="1">
          <reference field="0" count="0"/>
        </references>
      </pivotArea>
    </format>
    <format dxfId="148">
      <pivotArea field="4" type="button" dataOnly="0" labelOnly="1" outline="0" axis="axisPage" fieldPosition="1"/>
    </format>
    <format dxfId="147">
      <pivotArea dataOnly="0" labelOnly="1" outline="0" fieldPosition="0">
        <references count="1">
          <reference field="4" count="0"/>
        </references>
      </pivotArea>
    </format>
    <format dxfId="146">
      <pivotArea field="1" type="button" dataOnly="0" labelOnly="1" outline="0" axis="axisPage" fieldPosition="2"/>
    </format>
    <format dxfId="145">
      <pivotArea dataOnly="0" labelOnly="1" outline="0" fieldPosition="0">
        <references count="1">
          <reference field="1" count="0"/>
        </references>
      </pivotArea>
    </format>
    <format dxfId="144">
      <pivotArea field="0" type="button" dataOnly="0" labelOnly="1" outline="0" axis="axisPage" fieldPosition="0"/>
    </format>
    <format dxfId="143">
      <pivotArea dataOnly="0" labelOnly="1" outline="0" fieldPosition="0">
        <references count="1">
          <reference field="0" count="0"/>
        </references>
      </pivotArea>
    </format>
    <format dxfId="142">
      <pivotArea field="4" type="button" dataOnly="0" labelOnly="1" outline="0" axis="axisPage" fieldPosition="1"/>
    </format>
    <format dxfId="141">
      <pivotArea dataOnly="0" labelOnly="1" outline="0" fieldPosition="0">
        <references count="1">
          <reference field="4" count="0"/>
        </references>
      </pivotArea>
    </format>
    <format dxfId="140">
      <pivotArea field="1" type="button" dataOnly="0" labelOnly="1" outline="0" axis="axisPage" fieldPosition="2"/>
    </format>
    <format dxfId="139">
      <pivotArea dataOnly="0" labelOnly="1" outline="0" fieldPosition="0">
        <references count="1">
          <reference field="1" count="0"/>
        </references>
      </pivotArea>
    </format>
    <format dxfId="138">
      <pivotArea field="0" type="button" dataOnly="0" labelOnly="1" outline="0" axis="axisPage" fieldPosition="0"/>
    </format>
    <format dxfId="137">
      <pivotArea dataOnly="0" labelOnly="1" outline="0" fieldPosition="0">
        <references count="1">
          <reference field="0" count="0"/>
        </references>
      </pivotArea>
    </format>
    <format dxfId="136">
      <pivotArea field="4" type="button" dataOnly="0" labelOnly="1" outline="0" axis="axisPage" fieldPosition="1"/>
    </format>
    <format dxfId="135">
      <pivotArea dataOnly="0" labelOnly="1" outline="0" fieldPosition="0">
        <references count="1">
          <reference field="4" count="0"/>
        </references>
      </pivotArea>
    </format>
    <format dxfId="134">
      <pivotArea field="1" type="button" dataOnly="0" labelOnly="1" outline="0" axis="axisPage" fieldPosition="2"/>
    </format>
    <format dxfId="133">
      <pivotArea dataOnly="0" labelOnly="1" outline="0" fieldPosition="0">
        <references count="1">
          <reference field="1" count="0"/>
        </references>
      </pivotArea>
    </format>
    <format dxfId="132">
      <pivotArea field="0" type="button" dataOnly="0" labelOnly="1" outline="0" axis="axisPage" fieldPosition="0"/>
    </format>
    <format dxfId="131">
      <pivotArea dataOnly="0" labelOnly="1" outline="0" fieldPosition="0">
        <references count="1">
          <reference field="0" count="0"/>
        </references>
      </pivotArea>
    </format>
    <format dxfId="130">
      <pivotArea field="4" type="button" dataOnly="0" labelOnly="1" outline="0" axis="axisPage" fieldPosition="1"/>
    </format>
    <format dxfId="129">
      <pivotArea dataOnly="0" labelOnly="1" outline="0" fieldPosition="0">
        <references count="1">
          <reference field="4" count="0"/>
        </references>
      </pivotArea>
    </format>
    <format dxfId="128">
      <pivotArea field="1" type="button" dataOnly="0" labelOnly="1" outline="0" axis="axisPage" fieldPosition="2"/>
    </format>
    <format dxfId="127">
      <pivotArea dataOnly="0" labelOnly="1" outline="0" fieldPosition="0">
        <references count="1">
          <reference field="1" count="0"/>
        </references>
      </pivotArea>
    </format>
    <format dxfId="126">
      <pivotArea collapsedLevelsAreSubtotals="1" fieldPosition="0">
        <references count="1">
          <reference field="3" count="1">
            <x v="0"/>
          </reference>
        </references>
      </pivotArea>
    </format>
    <format dxfId="125">
      <pivotArea type="origin" dataOnly="0" labelOnly="1" outline="0" fieldPosition="0"/>
    </format>
    <format dxfId="124">
      <pivotArea field="-2" type="button" dataOnly="0" labelOnly="1" outline="0" axis="axisCol" fieldPosition="0"/>
    </format>
    <format dxfId="123">
      <pivotArea type="topRight" dataOnly="0" labelOnly="1" outline="0" fieldPosition="0"/>
    </format>
    <format dxfId="122">
      <pivotArea type="origin" dataOnly="0" labelOnly="1" outline="0" fieldPosition="0"/>
    </format>
    <format dxfId="121">
      <pivotArea field="-2" type="button" dataOnly="0" labelOnly="1" outline="0" axis="axisCol" fieldPosition="0"/>
    </format>
    <format dxfId="120">
      <pivotArea type="topRight" dataOnly="0" labelOnly="1" outline="0" fieldPosition="0"/>
    </format>
    <format dxfId="119">
      <pivotArea type="origin" dataOnly="0" labelOnly="1" outline="0" fieldPosition="0"/>
    </format>
    <format dxfId="118">
      <pivotArea field="-2" type="button" dataOnly="0" labelOnly="1" outline="0" axis="axisCol" fieldPosition="0"/>
    </format>
    <format dxfId="117">
      <pivotArea type="topRight" dataOnly="0" labelOnly="1" outline="0" fieldPosition="0"/>
    </format>
    <format dxfId="116">
      <pivotArea type="origin" dataOnly="0" labelOnly="1" outline="0" fieldPosition="0"/>
    </format>
    <format dxfId="115">
      <pivotArea field="-2" type="button" dataOnly="0" labelOnly="1" outline="0" axis="axisCol" fieldPosition="0"/>
    </format>
    <format dxfId="114">
      <pivotArea type="topRight" dataOnly="0" labelOnly="1" outline="0" fieldPosition="0"/>
    </format>
    <format dxfId="113">
      <pivotArea field="0" type="button" dataOnly="0" labelOnly="1" outline="0" axis="axisPage" fieldPosition="0"/>
    </format>
    <format dxfId="112">
      <pivotArea dataOnly="0" labelOnly="1" outline="0" fieldPosition="0">
        <references count="1">
          <reference field="0" count="0"/>
        </references>
      </pivotArea>
    </format>
    <format dxfId="111">
      <pivotArea field="4" type="button" dataOnly="0" labelOnly="1" outline="0" axis="axisPage" fieldPosition="1"/>
    </format>
    <format dxfId="110">
      <pivotArea dataOnly="0" labelOnly="1" outline="0" fieldPosition="0">
        <references count="1">
          <reference field="4" count="0"/>
        </references>
      </pivotArea>
    </format>
    <format dxfId="109">
      <pivotArea field="1" type="button" dataOnly="0" labelOnly="1" outline="0" axis="axisPage" fieldPosition="2"/>
    </format>
    <format dxfId="108">
      <pivotArea dataOnly="0" labelOnly="1" outline="0" fieldPosition="0">
        <references count="1">
          <reference field="1" count="0"/>
        </references>
      </pivotArea>
    </format>
    <format dxfId="107">
      <pivotArea field="0" type="button" dataOnly="0" labelOnly="1" outline="0" axis="axisPage" fieldPosition="0"/>
    </format>
    <format dxfId="106">
      <pivotArea dataOnly="0" labelOnly="1" outline="0" fieldPosition="0">
        <references count="1">
          <reference field="0" count="0"/>
        </references>
      </pivotArea>
    </format>
    <format dxfId="105">
      <pivotArea field="4" type="button" dataOnly="0" labelOnly="1" outline="0" axis="axisPage" fieldPosition="1"/>
    </format>
    <format dxfId="104">
      <pivotArea dataOnly="0" labelOnly="1" outline="0" fieldPosition="0">
        <references count="1">
          <reference field="4" count="0"/>
        </references>
      </pivotArea>
    </format>
    <format dxfId="103">
      <pivotArea field="1" type="button" dataOnly="0" labelOnly="1" outline="0" axis="axisPage" fieldPosition="2"/>
    </format>
    <format dxfId="102">
      <pivotArea dataOnly="0" labelOnly="1" outline="0" fieldPosition="0">
        <references count="1">
          <reference field="1" count="0"/>
        </references>
      </pivotArea>
    </format>
    <format dxfId="101">
      <pivotArea field="0" type="button" dataOnly="0" labelOnly="1" outline="0" axis="axisPage" fieldPosition="0"/>
    </format>
    <format dxfId="100">
      <pivotArea dataOnly="0" labelOnly="1" outline="0" fieldPosition="0">
        <references count="1">
          <reference field="0" count="0"/>
        </references>
      </pivotArea>
    </format>
    <format dxfId="99">
      <pivotArea field="4" type="button" dataOnly="0" labelOnly="1" outline="0" axis="axisPage" fieldPosition="1"/>
    </format>
    <format dxfId="98">
      <pivotArea dataOnly="0" labelOnly="1" outline="0" fieldPosition="0">
        <references count="1">
          <reference field="4" count="0"/>
        </references>
      </pivotArea>
    </format>
    <format dxfId="97">
      <pivotArea field="1" type="button" dataOnly="0" labelOnly="1" outline="0" axis="axisPage" fieldPosition="2"/>
    </format>
    <format dxfId="96">
      <pivotArea dataOnly="0" labelOnly="1" outline="0" fieldPosition="0">
        <references count="1">
          <reference field="1" count="0"/>
        </references>
      </pivotArea>
    </format>
    <format dxfId="95">
      <pivotArea field="0" type="button" dataOnly="0" labelOnly="1" outline="0" axis="axisPage" fieldPosition="0"/>
    </format>
    <format dxfId="94">
      <pivotArea dataOnly="0" labelOnly="1" outline="0" fieldPosition="0">
        <references count="1">
          <reference field="0" count="0"/>
        </references>
      </pivotArea>
    </format>
    <format dxfId="93">
      <pivotArea field="4" type="button" dataOnly="0" labelOnly="1" outline="0" axis="axisPage" fieldPosition="1"/>
    </format>
    <format dxfId="92">
      <pivotArea dataOnly="0" labelOnly="1" outline="0" fieldPosition="0">
        <references count="1">
          <reference field="4" count="0"/>
        </references>
      </pivotArea>
    </format>
    <format dxfId="91">
      <pivotArea field="1" type="button" dataOnly="0" labelOnly="1" outline="0" axis="axisPage" fieldPosition="2"/>
    </format>
    <format dxfId="90">
      <pivotArea dataOnly="0" labelOnly="1" outline="0" fieldPosition="0">
        <references count="1">
          <reference field="1" count="0"/>
        </references>
      </pivotArea>
    </format>
    <format dxfId="89">
      <pivotArea field="3" type="button" dataOnly="0" labelOnly="1" outline="0" axis="axisRow" fieldPosition="0"/>
    </format>
    <format dxfId="88">
      <pivotArea dataOnly="0" labelOnly="1" outline="0" fieldPosition="0">
        <references count="1">
          <reference field="4294967294" count="9">
            <x v="0"/>
            <x v="2"/>
            <x v="3"/>
            <x v="4"/>
            <x v="5"/>
            <x v="7"/>
            <x v="8"/>
            <x v="9"/>
            <x v="10"/>
          </reference>
        </references>
      </pivotArea>
    </format>
    <format dxfId="87">
      <pivotArea field="3" type="button" dataOnly="0" labelOnly="1" outline="0" axis="axisRow" fieldPosition="0"/>
    </format>
    <format dxfId="86">
      <pivotArea dataOnly="0" labelOnly="1" outline="0" fieldPosition="0">
        <references count="1">
          <reference field="4294967294" count="9">
            <x v="0"/>
            <x v="2"/>
            <x v="3"/>
            <x v="4"/>
            <x v="5"/>
            <x v="7"/>
            <x v="8"/>
            <x v="9"/>
            <x v="10"/>
          </reference>
        </references>
      </pivotArea>
    </format>
    <format dxfId="85">
      <pivotArea field="3" type="button" dataOnly="0" labelOnly="1" outline="0" axis="axisRow" fieldPosition="0"/>
    </format>
    <format dxfId="84">
      <pivotArea dataOnly="0" labelOnly="1" outline="0" fieldPosition="0">
        <references count="1">
          <reference field="4294967294" count="9">
            <x v="0"/>
            <x v="2"/>
            <x v="3"/>
            <x v="4"/>
            <x v="5"/>
            <x v="7"/>
            <x v="8"/>
            <x v="9"/>
            <x v="10"/>
          </reference>
        </references>
      </pivotArea>
    </format>
    <format dxfId="83">
      <pivotArea type="origin" dataOnly="0" labelOnly="1" outline="0" fieldPosition="0"/>
    </format>
    <format dxfId="82">
      <pivotArea field="-2" type="button" dataOnly="0" labelOnly="1" outline="0" axis="axisCol" fieldPosition="0"/>
    </format>
    <format dxfId="81">
      <pivotArea type="topRight" dataOnly="0" labelOnly="1" outline="0" fieldPosition="0"/>
    </format>
    <format dxfId="80">
      <pivotArea type="origin" dataOnly="0" labelOnly="1" outline="0" fieldPosition="0"/>
    </format>
    <format dxfId="79">
      <pivotArea field="-2" type="button" dataOnly="0" labelOnly="1" outline="0" axis="axisCol" fieldPosition="0"/>
    </format>
    <format dxfId="78">
      <pivotArea type="topRight" dataOnly="0" labelOnly="1" outline="0" fieldPosition="0"/>
    </format>
    <format dxfId="77">
      <pivotArea grandRow="1" outline="0" collapsedLevelsAreSubtotals="1" fieldPosition="0"/>
    </format>
    <format dxfId="76">
      <pivotArea dataOnly="0" labelOnly="1" grandRow="1" outline="0" fieldPosition="0"/>
    </format>
    <format dxfId="75">
      <pivotArea type="origin" dataOnly="0" labelOnly="1" outline="0" fieldPosition="0"/>
    </format>
    <format dxfId="74">
      <pivotArea field="-2" type="button" dataOnly="0" labelOnly="1" outline="0" axis="axisCol" fieldPosition="0"/>
    </format>
    <format dxfId="73">
      <pivotArea type="topRight" dataOnly="0" labelOnly="1" outline="0" fieldPosition="0"/>
    </format>
    <format dxfId="72">
      <pivotArea outline="0" collapsedLevelsAreSubtotals="1" fieldPosition="0"/>
    </format>
    <format dxfId="71">
      <pivotArea field="3" type="button" dataOnly="0" labelOnly="1" outline="0" axis="axisRow" fieldPosition="0"/>
    </format>
    <format dxfId="70">
      <pivotArea dataOnly="0" labelOnly="1" outline="0" fieldPosition="0">
        <references count="1">
          <reference field="3" count="0"/>
        </references>
      </pivotArea>
    </format>
    <format dxfId="69">
      <pivotArea dataOnly="0" labelOnly="1" grandRow="1" outline="0" fieldPosition="0"/>
    </format>
    <format dxfId="68">
      <pivotArea dataOnly="0" labelOnly="1" outline="0" fieldPosition="0">
        <references count="1">
          <reference field="4294967294" count="9">
            <x v="0"/>
            <x v="2"/>
            <x v="3"/>
            <x v="4"/>
            <x v="5"/>
            <x v="7"/>
            <x v="8"/>
            <x v="9"/>
            <x v="10"/>
          </reference>
        </references>
      </pivotArea>
    </format>
    <format dxfId="67">
      <pivotArea outline="0" collapsedLevelsAreSubtotals="1" fieldPosition="0"/>
    </format>
    <format dxfId="66">
      <pivotArea field="3" type="button" dataOnly="0" labelOnly="1" outline="0" axis="axisRow" fieldPosition="0"/>
    </format>
    <format dxfId="65">
      <pivotArea dataOnly="0" labelOnly="1" outline="0" fieldPosition="0">
        <references count="1">
          <reference field="3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9">
            <x v="0"/>
            <x v="2"/>
            <x v="3"/>
            <x v="4"/>
            <x v="5"/>
            <x v="7"/>
            <x v="8"/>
            <x v="9"/>
            <x v="10"/>
          </reference>
        </references>
      </pivotArea>
    </format>
    <format dxfId="62">
      <pivotArea field="0" type="button" dataOnly="0" labelOnly="1" outline="0" axis="axisPage" fieldPosition="0"/>
    </format>
    <format dxfId="61">
      <pivotArea dataOnly="0" labelOnly="1" outline="0" fieldPosition="0">
        <references count="1">
          <reference field="0" count="0"/>
        </references>
      </pivotArea>
    </format>
    <format dxfId="60">
      <pivotArea field="4" type="button" dataOnly="0" labelOnly="1" outline="0" axis="axisPage" fieldPosition="1"/>
    </format>
    <format dxfId="59">
      <pivotArea dataOnly="0" labelOnly="1" outline="0" fieldPosition="0">
        <references count="1">
          <reference field="4" count="0"/>
        </references>
      </pivotArea>
    </format>
    <format dxfId="58">
      <pivotArea field="1" type="button" dataOnly="0" labelOnly="1" outline="0" axis="axisPage" fieldPosition="2"/>
    </format>
    <format dxfId="57">
      <pivotArea dataOnly="0" labelOnly="1" outline="0" fieldPosition="0">
        <references count="1">
          <reference field="1" count="0"/>
        </references>
      </pivotArea>
    </format>
    <format dxfId="56">
      <pivotArea outline="0" collapsedLevelsAreSubtotals="1" fieldPosition="0"/>
    </format>
    <format dxfId="55">
      <pivotArea dataOnly="0" labelOnly="1" outline="0" fieldPosition="0">
        <references count="1">
          <reference field="3" count="0"/>
        </references>
      </pivotArea>
    </format>
    <format dxfId="54">
      <pivotArea dataOnly="0" labelOnly="1" grandRow="1" outline="0" fieldPosition="0"/>
    </format>
    <format dxfId="53">
      <pivotArea field="-2" type="button" dataOnly="0" labelOnly="1" outline="0" axis="axisCol" fieldPosition="0"/>
    </format>
    <format dxfId="52">
      <pivotArea field="0" type="button" dataOnly="0" labelOnly="1" outline="0" axis="axisPage" fieldPosition="0"/>
    </format>
    <format dxfId="51">
      <pivotArea dataOnly="0" labelOnly="1" outline="0" fieldPosition="0">
        <references count="1">
          <reference field="0" count="0"/>
        </references>
      </pivotArea>
    </format>
    <format dxfId="50">
      <pivotArea field="4" type="button" dataOnly="0" labelOnly="1" outline="0" axis="axisPage" fieldPosition="1"/>
    </format>
    <format dxfId="49">
      <pivotArea dataOnly="0" labelOnly="1" outline="0" fieldPosition="0">
        <references count="1">
          <reference field="4" count="0"/>
        </references>
      </pivotArea>
    </format>
    <format dxfId="48">
      <pivotArea field="1" type="button" dataOnly="0" labelOnly="1" outline="0" axis="axisPage" fieldPosition="2"/>
    </format>
    <format dxfId="47">
      <pivotArea dataOnly="0" labelOnly="1" outline="0" fieldPosition="0">
        <references count="1">
          <reference field="1" count="0"/>
        </references>
      </pivotArea>
    </format>
    <format dxfId="46">
      <pivotArea field="0" type="button" dataOnly="0" labelOnly="1" outline="0" axis="axisPage" fieldPosition="0"/>
    </format>
    <format dxfId="45">
      <pivotArea dataOnly="0" labelOnly="1" outline="0" fieldPosition="0">
        <references count="1">
          <reference field="0" count="0"/>
        </references>
      </pivotArea>
    </format>
    <format dxfId="44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  <format dxfId="43">
      <pivotArea collapsedLevelsAreSubtotals="1" fieldPosition="0">
        <references count="2">
          <reference field="4294967294" count="8" selected="0">
            <x v="2"/>
            <x v="3"/>
            <x v="4"/>
            <x v="5"/>
            <x v="7"/>
            <x v="8"/>
            <x v="9"/>
            <x v="10"/>
          </reference>
          <reference field="3" count="1">
            <x v="0"/>
          </reference>
        </references>
      </pivotArea>
    </format>
    <format dxfId="42">
      <pivotArea collapsedLevelsAreSubtotals="1" fieldPosition="0">
        <references count="2">
          <reference field="4294967294" count="8" selected="0">
            <x v="2"/>
            <x v="3"/>
            <x v="4"/>
            <x v="5"/>
            <x v="7"/>
            <x v="8"/>
            <x v="9"/>
            <x v="10"/>
          </reference>
          <reference field="3" count="1">
            <x v="0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0"/>
          </reference>
          <reference field="3" count="0"/>
        </references>
      </pivotArea>
    </format>
    <format dxfId="40">
      <pivotArea collapsedLevelsAreSubtotals="1" fieldPosition="0">
        <references count="2">
          <reference field="4294967294" count="1" selected="0">
            <x v="2"/>
          </reference>
          <reference field="3" count="0"/>
        </references>
      </pivotArea>
    </format>
    <format dxfId="39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37">
      <pivotArea collapsedLevelsAreSubtotals="1" fieldPosition="0">
        <references count="2">
          <reference field="4294967294" count="8" selected="0">
            <x v="2"/>
            <x v="3"/>
            <x v="4"/>
            <x v="5"/>
            <x v="7"/>
            <x v="8"/>
            <x v="9"/>
            <x v="10"/>
          </reference>
          <reference field="3" count="1">
            <x v="1"/>
          </reference>
        </references>
      </pivotArea>
    </format>
    <format dxfId="36">
      <pivotArea collapsedLevelsAreSubtotals="1" fieldPosition="0">
        <references count="1">
          <reference field="3" count="1">
            <x v="0"/>
          </reference>
        </references>
      </pivotArea>
    </format>
    <format dxfId="35">
      <pivotArea dataOnly="0" labelOnly="1" outline="0" fieldPosition="0">
        <references count="1">
          <reference field="3" count="1">
            <x v="0"/>
          </reference>
        </references>
      </pivotArea>
    </format>
    <format dxfId="34">
      <pivotArea field="0" type="button" dataOnly="0" labelOnly="1" outline="0" axis="axisPage" fieldPosition="0"/>
    </format>
    <format dxfId="33">
      <pivotArea dataOnly="0" labelOnly="1" outline="0" fieldPosition="0">
        <references count="1">
          <reference field="0" count="0"/>
        </references>
      </pivotArea>
    </format>
    <format dxfId="32">
      <pivotArea field="4" type="button" dataOnly="0" labelOnly="1" outline="0" axis="axisPage" fieldPosition="1"/>
    </format>
    <format dxfId="31">
      <pivotArea dataOnly="0" labelOnly="1" outline="0" fieldPosition="0">
        <references count="1">
          <reference field="4" count="0"/>
        </references>
      </pivotArea>
    </format>
    <format dxfId="30">
      <pivotArea field="1" type="button" dataOnly="0" labelOnly="1" outline="0" axis="axisPage" fieldPosition="2"/>
    </format>
    <format dxfId="29">
      <pivotArea dataOnly="0" labelOnly="1" outline="0" fieldPosition="0">
        <references count="1">
          <reference field="1" count="0"/>
        </references>
      </pivotArea>
    </format>
    <format dxfId="28">
      <pivotArea field="0" type="button" dataOnly="0" labelOnly="1" outline="0" axis="axisPage" fieldPosition="0"/>
    </format>
    <format dxfId="27">
      <pivotArea dataOnly="0" labelOnly="1" outline="0" fieldPosition="0">
        <references count="1">
          <reference field="0" count="0"/>
        </references>
      </pivotArea>
    </format>
    <format dxfId="26">
      <pivotArea field="4" type="button" dataOnly="0" labelOnly="1" outline="0" axis="axisPage" fieldPosition="1"/>
    </format>
    <format dxfId="25">
      <pivotArea dataOnly="0" labelOnly="1" outline="0" fieldPosition="0">
        <references count="1">
          <reference field="4" count="0"/>
        </references>
      </pivotArea>
    </format>
    <format dxfId="24">
      <pivotArea field="1" type="button" dataOnly="0" labelOnly="1" outline="0" axis="axisPage" fieldPosition="2"/>
    </format>
    <format dxfId="23">
      <pivotArea dataOnly="0" labelOnly="1" outline="0" fieldPosition="0">
        <references count="1">
          <reference field="1" count="0"/>
        </references>
      </pivotArea>
    </format>
    <format dxfId="22">
      <pivotArea field="0" type="button" dataOnly="0" labelOnly="1" outline="0" axis="axisPage" fieldPosition="0"/>
    </format>
    <format dxfId="21">
      <pivotArea dataOnly="0" labelOnly="1" outline="0" fieldPosition="0">
        <references count="1">
          <reference field="0" count="0"/>
        </references>
      </pivotArea>
    </format>
    <format dxfId="20">
      <pivotArea field="4" type="button" dataOnly="0" labelOnly="1" outline="0" axis="axisPage" fieldPosition="1"/>
    </format>
    <format dxfId="19">
      <pivotArea dataOnly="0" labelOnly="1" outline="0" fieldPosition="0">
        <references count="1">
          <reference field="4" count="0"/>
        </references>
      </pivotArea>
    </format>
    <format dxfId="18">
      <pivotArea field="1" type="button" dataOnly="0" labelOnly="1" outline="0" axis="axisPage" fieldPosition="2"/>
    </format>
    <format dxfId="17">
      <pivotArea dataOnly="0" labelOnly="1" outline="0" fieldPosition="0">
        <references count="1">
          <reference field="1" count="0"/>
        </references>
      </pivotArea>
    </format>
    <format dxfId="16">
      <pivotArea field="3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9">
            <x v="0"/>
            <x v="2"/>
            <x v="3"/>
            <x v="4"/>
            <x v="5"/>
            <x v="7"/>
            <x v="8"/>
            <x v="9"/>
            <x v="10"/>
          </reference>
        </references>
      </pivotArea>
    </format>
    <format dxfId="14">
      <pivotArea field="3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9">
            <x v="0"/>
            <x v="2"/>
            <x v="3"/>
            <x v="4"/>
            <x v="5"/>
            <x v="7"/>
            <x v="8"/>
            <x v="9"/>
            <x v="1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7" selected="0">
            <x v="3"/>
            <x v="4"/>
            <x v="5"/>
            <x v="7"/>
            <x v="8"/>
            <x v="9"/>
            <x v="10"/>
          </reference>
        </references>
      </pivotArea>
    </format>
    <format dxfId="10">
      <pivotArea dataOnly="0" labelOnly="1" outline="0" fieldPosition="0">
        <references count="1">
          <reference field="4294967294" count="6">
            <x v="1"/>
            <x v="2"/>
            <x v="3"/>
            <x v="4"/>
            <x v="5"/>
            <x v="6"/>
          </reference>
        </references>
      </pivotArea>
    </format>
    <format dxfId="9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8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6"/>
          </reference>
          <reference field="3" count="1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3" count="1">
            <x v="1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6"/>
          </reference>
          <reference field="3" count="1">
            <x v="1"/>
          </reference>
        </references>
      </pivotArea>
    </format>
  </formats>
  <chartFormats count="11"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Medium6" showRowHeaders="1" showColHeaders="1" showRowStripes="0" showColStripes="1" showLastColumn="1"/>
</pivotTableDefinition>
</file>

<file path=xl/tables/table1.xml><?xml version="1.0" encoding="utf-8"?>
<table xmlns="http://schemas.openxmlformats.org/spreadsheetml/2006/main" id="1" name="Table1" displayName="Table1" ref="A1:S17" totalsRowShown="0">
  <autoFilter ref="A1:S17"/>
  <tableColumns count="19">
    <tableColumn id="1" name="EMP ID"/>
    <tableColumn id="2" name="NAME"/>
    <tableColumn id="3" name="FATHER'S NAME"/>
    <tableColumn id="4" name="DEPARTMENT"/>
    <tableColumn id="5" name="ACCOUNT NUMBER"/>
    <tableColumn id="6" name="BASIC SALARY"/>
    <tableColumn id="7" name="HRA (40%)"/>
    <tableColumn id="8" name="DA (10%)"/>
    <tableColumn id="9" name="CONVEYANCE (5%)"/>
    <tableColumn id="10" name="OVERTIME HOURS"/>
    <tableColumn id="11" name="RATE/HR"/>
    <tableColumn id="12" name="OVERTIME SALARY"/>
    <tableColumn id="13" name="BONUS( 15%)"/>
    <tableColumn id="14" name="LEAVES"/>
    <tableColumn id="15" name="DEDUCTIONS FOR LEAVES"/>
    <tableColumn id="16" name="GROSS SALARY"/>
    <tableColumn id="17" name="PF (12%)"/>
    <tableColumn id="18" name="MEDICLAIM (500) "/>
    <tableColumn id="19" name="NET SALARY 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S52" totalsRowShown="0">
  <autoFilter ref="A1:S52"/>
  <tableColumns count="19">
    <tableColumn id="1" name="EMP ID"/>
    <tableColumn id="2" name="NAME"/>
    <tableColumn id="3" name="FATHER'S NAME"/>
    <tableColumn id="4" name="DEPARTMENT"/>
    <tableColumn id="5" name="ACCOUNT NUMBER"/>
    <tableColumn id="6" name="BASIC SALARY"/>
    <tableColumn id="7" name="HRA (40%)"/>
    <tableColumn id="8" name="DA (10%)"/>
    <tableColumn id="9" name="CONVEYANCE (5%)"/>
    <tableColumn id="10" name="OVERTIME HOURS"/>
    <tableColumn id="11" name="RATE/HR"/>
    <tableColumn id="12" name="OVERTIME SALARY"/>
    <tableColumn id="13" name="BONUS( 15%)"/>
    <tableColumn id="14" name="LEAVES"/>
    <tableColumn id="15" name="DEDUCTIONS FOR LEAVES"/>
    <tableColumn id="16" name="GROSS SALARY"/>
    <tableColumn id="17" name="PF (12%)"/>
    <tableColumn id="18" name="MEDICLAIM (500) "/>
    <tableColumn id="19" name="NET SALARY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workbookViewId="0">
      <selection sqref="A1:S17"/>
    </sheetView>
  </sheetViews>
  <sheetFormatPr defaultRowHeight="15"/>
  <cols>
    <col min="1" max="1" width="9.28515625" customWidth="1"/>
    <col min="3" max="3" width="17.140625" customWidth="1"/>
    <col min="4" max="4" width="15.140625" customWidth="1"/>
    <col min="5" max="5" width="20" customWidth="1"/>
    <col min="6" max="6" width="15.28515625" customWidth="1"/>
    <col min="7" max="7" width="12.28515625" customWidth="1"/>
    <col min="8" max="8" width="11.140625" customWidth="1"/>
    <col min="9" max="9" width="19.7109375" customWidth="1"/>
    <col min="10" max="10" width="18.85546875" customWidth="1"/>
    <col min="11" max="11" width="10.85546875" customWidth="1"/>
    <col min="12" max="12" width="19.28515625" customWidth="1"/>
    <col min="13" max="13" width="14.85546875" customWidth="1"/>
    <col min="14" max="14" width="9.5703125" customWidth="1"/>
    <col min="15" max="15" width="25.42578125" customWidth="1"/>
    <col min="16" max="16" width="16" customWidth="1"/>
    <col min="17" max="17" width="10.7109375" customWidth="1"/>
    <col min="18" max="18" width="18.5703125" customWidth="1"/>
    <col min="19" max="19" width="14" customWidth="1"/>
  </cols>
  <sheetData>
    <row r="1" spans="1:19">
      <c r="A1" t="s">
        <v>110</v>
      </c>
      <c r="B1" t="s">
        <v>3</v>
      </c>
      <c r="C1" t="s">
        <v>4</v>
      </c>
      <c r="D1" t="s">
        <v>109</v>
      </c>
      <c r="E1" t="s">
        <v>120</v>
      </c>
      <c r="F1" t="s">
        <v>5</v>
      </c>
      <c r="G1" t="s">
        <v>112</v>
      </c>
      <c r="H1" t="s">
        <v>113</v>
      </c>
      <c r="I1" t="s">
        <v>114</v>
      </c>
      <c r="J1" t="s">
        <v>0</v>
      </c>
      <c r="K1" t="s">
        <v>115</v>
      </c>
      <c r="L1" t="s">
        <v>1</v>
      </c>
      <c r="M1" t="s">
        <v>116</v>
      </c>
      <c r="N1" t="s">
        <v>111</v>
      </c>
      <c r="O1" t="s">
        <v>117</v>
      </c>
      <c r="P1" t="s">
        <v>2</v>
      </c>
      <c r="Q1" t="s">
        <v>23</v>
      </c>
      <c r="R1" t="s">
        <v>119</v>
      </c>
      <c r="S1" t="s">
        <v>118</v>
      </c>
    </row>
    <row r="2" spans="1:19">
      <c r="A2">
        <v>122401</v>
      </c>
      <c r="B2" t="s">
        <v>6</v>
      </c>
      <c r="C2" t="s">
        <v>60</v>
      </c>
      <c r="D2" t="s">
        <v>25</v>
      </c>
      <c r="E2">
        <v>1224140001</v>
      </c>
      <c r="F2">
        <v>150000</v>
      </c>
      <c r="G2">
        <v>60000</v>
      </c>
      <c r="H2">
        <v>15000</v>
      </c>
      <c r="I2">
        <v>7500</v>
      </c>
      <c r="J2">
        <v>4</v>
      </c>
      <c r="K2">
        <v>604.83870967741939</v>
      </c>
      <c r="L2">
        <v>2419.3548387096776</v>
      </c>
      <c r="M2">
        <v>24750</v>
      </c>
      <c r="N2">
        <v>3</v>
      </c>
      <c r="O2">
        <v>14516.129032258064</v>
      </c>
      <c r="P2">
        <v>245153.22580645161</v>
      </c>
      <c r="Q2">
        <v>19800</v>
      </c>
      <c r="R2">
        <v>244653.22580645161</v>
      </c>
      <c r="S2">
        <v>224853.22580645161</v>
      </c>
    </row>
    <row r="3" spans="1:19">
      <c r="A3">
        <v>122444</v>
      </c>
      <c r="B3" t="s">
        <v>52</v>
      </c>
      <c r="C3" t="s">
        <v>101</v>
      </c>
      <c r="D3" t="s">
        <v>25</v>
      </c>
      <c r="E3">
        <v>1224140044</v>
      </c>
      <c r="F3">
        <v>34000</v>
      </c>
      <c r="G3">
        <v>13600</v>
      </c>
      <c r="H3">
        <v>3400</v>
      </c>
      <c r="I3">
        <v>1700</v>
      </c>
      <c r="J3">
        <v>3</v>
      </c>
      <c r="K3">
        <v>137.09677419354838</v>
      </c>
      <c r="L3">
        <v>411.29032258064512</v>
      </c>
      <c r="M3">
        <v>5610</v>
      </c>
      <c r="N3">
        <v>3</v>
      </c>
      <c r="O3">
        <v>3290.322580645161</v>
      </c>
      <c r="P3">
        <v>55430.967741935485</v>
      </c>
      <c r="Q3">
        <v>4488</v>
      </c>
      <c r="R3">
        <v>54930.967741935485</v>
      </c>
      <c r="S3">
        <v>50442.967741935485</v>
      </c>
    </row>
    <row r="4" spans="1:19">
      <c r="A4">
        <v>122443</v>
      </c>
      <c r="B4" t="s">
        <v>50</v>
      </c>
      <c r="C4" t="s">
        <v>100</v>
      </c>
      <c r="D4" t="s">
        <v>25</v>
      </c>
      <c r="E4">
        <v>1224140043</v>
      </c>
      <c r="F4">
        <v>78000</v>
      </c>
      <c r="G4">
        <v>31200</v>
      </c>
      <c r="H4">
        <v>7800</v>
      </c>
      <c r="I4">
        <v>3900</v>
      </c>
      <c r="J4">
        <v>3</v>
      </c>
      <c r="K4">
        <v>314.51612903225805</v>
      </c>
      <c r="L4">
        <v>943.54838709677415</v>
      </c>
      <c r="M4">
        <v>12870</v>
      </c>
      <c r="N4">
        <v>2</v>
      </c>
      <c r="O4">
        <v>5032.2580645161288</v>
      </c>
      <c r="P4">
        <v>129681.29032258067</v>
      </c>
      <c r="Q4">
        <v>10296</v>
      </c>
      <c r="R4">
        <v>129181.29032258067</v>
      </c>
      <c r="S4">
        <v>118885.29032258067</v>
      </c>
    </row>
    <row r="5" spans="1:19">
      <c r="A5">
        <v>122442</v>
      </c>
      <c r="B5" t="s">
        <v>51</v>
      </c>
      <c r="C5" t="s">
        <v>99</v>
      </c>
      <c r="D5" t="s">
        <v>25</v>
      </c>
      <c r="E5">
        <v>1224140042</v>
      </c>
      <c r="F5">
        <v>56000</v>
      </c>
      <c r="G5">
        <v>22400</v>
      </c>
      <c r="H5">
        <v>5600</v>
      </c>
      <c r="I5">
        <v>2800</v>
      </c>
      <c r="J5">
        <v>3</v>
      </c>
      <c r="K5">
        <v>225.80645161290323</v>
      </c>
      <c r="L5">
        <v>677.41935483870975</v>
      </c>
      <c r="M5">
        <v>9240</v>
      </c>
      <c r="N5">
        <v>2</v>
      </c>
      <c r="O5">
        <v>3612.9032258064517</v>
      </c>
      <c r="P5">
        <v>93104.516129032258</v>
      </c>
      <c r="Q5">
        <v>7392</v>
      </c>
      <c r="R5">
        <v>92604.516129032258</v>
      </c>
      <c r="S5">
        <v>85212.516129032258</v>
      </c>
    </row>
    <row r="6" spans="1:19">
      <c r="A6">
        <v>122405</v>
      </c>
      <c r="B6" t="s">
        <v>11</v>
      </c>
      <c r="C6" t="s">
        <v>64</v>
      </c>
      <c r="D6" t="s">
        <v>25</v>
      </c>
      <c r="E6">
        <v>1224140005</v>
      </c>
      <c r="F6">
        <v>66000</v>
      </c>
      <c r="G6">
        <v>26400</v>
      </c>
      <c r="H6">
        <v>6600</v>
      </c>
      <c r="I6">
        <v>3300</v>
      </c>
      <c r="J6">
        <v>12</v>
      </c>
      <c r="K6">
        <v>266.12903225806451</v>
      </c>
      <c r="L6">
        <v>3193.5483870967741</v>
      </c>
      <c r="M6">
        <v>10890</v>
      </c>
      <c r="N6">
        <v>7</v>
      </c>
      <c r="O6">
        <v>14903.225806451614</v>
      </c>
      <c r="P6">
        <v>101480.32258064515</v>
      </c>
      <c r="Q6">
        <v>8712</v>
      </c>
      <c r="R6">
        <v>100980.32258064515</v>
      </c>
      <c r="S6">
        <v>92268.322580645152</v>
      </c>
    </row>
    <row r="7" spans="1:19">
      <c r="A7">
        <v>122406</v>
      </c>
      <c r="B7" t="s">
        <v>8</v>
      </c>
      <c r="C7" t="s">
        <v>65</v>
      </c>
      <c r="D7" t="s">
        <v>25</v>
      </c>
      <c r="E7">
        <v>1224140006</v>
      </c>
      <c r="F7">
        <v>44000</v>
      </c>
      <c r="G7">
        <v>17600</v>
      </c>
      <c r="H7">
        <v>4400</v>
      </c>
      <c r="I7">
        <v>2200</v>
      </c>
      <c r="J7">
        <v>9</v>
      </c>
      <c r="K7">
        <v>177.41935483870967</v>
      </c>
      <c r="L7">
        <v>1596.7741935483871</v>
      </c>
      <c r="M7">
        <v>7260</v>
      </c>
      <c r="N7">
        <v>8</v>
      </c>
      <c r="O7">
        <v>11354.838709677419</v>
      </c>
      <c r="P7">
        <v>65701.93548387097</v>
      </c>
      <c r="Q7">
        <v>5808</v>
      </c>
      <c r="R7">
        <v>65201.93548387097</v>
      </c>
      <c r="S7">
        <v>59393.93548387097</v>
      </c>
    </row>
    <row r="8" spans="1:19">
      <c r="A8">
        <v>122407</v>
      </c>
      <c r="B8" t="s">
        <v>9</v>
      </c>
      <c r="C8" t="s">
        <v>66</v>
      </c>
      <c r="D8" t="s">
        <v>25</v>
      </c>
      <c r="E8">
        <v>1224140007</v>
      </c>
      <c r="F8">
        <v>65000</v>
      </c>
      <c r="G8">
        <v>26000</v>
      </c>
      <c r="H8">
        <v>6500</v>
      </c>
      <c r="I8">
        <v>3250</v>
      </c>
      <c r="J8">
        <v>32</v>
      </c>
      <c r="K8">
        <v>262.09677419354841</v>
      </c>
      <c r="L8">
        <v>8387.0967741935492</v>
      </c>
      <c r="M8">
        <v>10725</v>
      </c>
      <c r="N8">
        <v>9</v>
      </c>
      <c r="O8">
        <v>18870.967741935485</v>
      </c>
      <c r="P8">
        <v>100991.12903225806</v>
      </c>
      <c r="Q8">
        <v>8580</v>
      </c>
      <c r="R8">
        <v>100491.12903225806</v>
      </c>
      <c r="S8">
        <v>91911.129032258061</v>
      </c>
    </row>
    <row r="9" spans="1:19">
      <c r="A9">
        <v>122408</v>
      </c>
      <c r="B9" t="s">
        <v>13</v>
      </c>
      <c r="C9" t="s">
        <v>67</v>
      </c>
      <c r="D9" t="s">
        <v>25</v>
      </c>
      <c r="E9">
        <v>1224140008</v>
      </c>
      <c r="F9">
        <v>65000</v>
      </c>
      <c r="G9">
        <v>26000</v>
      </c>
      <c r="H9">
        <v>6500</v>
      </c>
      <c r="I9">
        <v>3250</v>
      </c>
      <c r="J9">
        <v>21</v>
      </c>
      <c r="K9">
        <v>262.09677419354841</v>
      </c>
      <c r="L9">
        <v>5504.032258064517</v>
      </c>
      <c r="M9">
        <v>10725</v>
      </c>
      <c r="N9">
        <v>2</v>
      </c>
      <c r="O9">
        <v>4193.5483870967746</v>
      </c>
      <c r="P9">
        <v>112785.48387096774</v>
      </c>
      <c r="Q9">
        <v>8580</v>
      </c>
      <c r="R9">
        <v>112285.48387096774</v>
      </c>
      <c r="S9">
        <v>103705.48387096774</v>
      </c>
    </row>
    <row r="10" spans="1:19">
      <c r="A10">
        <v>122440</v>
      </c>
      <c r="B10" t="s">
        <v>49</v>
      </c>
      <c r="C10" t="s">
        <v>97</v>
      </c>
      <c r="D10" t="s">
        <v>25</v>
      </c>
      <c r="E10">
        <v>1224140040</v>
      </c>
      <c r="F10">
        <v>120000</v>
      </c>
      <c r="G10">
        <v>48000</v>
      </c>
      <c r="H10">
        <v>12000</v>
      </c>
      <c r="I10">
        <v>6000</v>
      </c>
      <c r="J10">
        <v>3</v>
      </c>
      <c r="K10">
        <v>483.87096774193549</v>
      </c>
      <c r="L10">
        <v>1451.6129032258063</v>
      </c>
      <c r="M10">
        <v>19800</v>
      </c>
      <c r="N10">
        <v>2</v>
      </c>
      <c r="O10">
        <v>7741.9354838709678</v>
      </c>
      <c r="P10">
        <v>199509.67741935485</v>
      </c>
      <c r="Q10">
        <v>15840</v>
      </c>
      <c r="R10">
        <v>199009.67741935485</v>
      </c>
      <c r="S10">
        <v>183169.67741935485</v>
      </c>
    </row>
    <row r="11" spans="1:19">
      <c r="A11">
        <v>122439</v>
      </c>
      <c r="B11" t="s">
        <v>48</v>
      </c>
      <c r="C11" t="s">
        <v>96</v>
      </c>
      <c r="D11" t="s">
        <v>25</v>
      </c>
      <c r="E11">
        <v>1224140039</v>
      </c>
      <c r="F11">
        <v>65000</v>
      </c>
      <c r="G11">
        <v>26000</v>
      </c>
      <c r="H11">
        <v>6500</v>
      </c>
      <c r="I11">
        <v>3250</v>
      </c>
      <c r="J11">
        <v>3</v>
      </c>
      <c r="K11">
        <v>262.09677419354841</v>
      </c>
      <c r="L11">
        <v>786.29032258064524</v>
      </c>
      <c r="M11">
        <v>10725</v>
      </c>
      <c r="N11">
        <v>2</v>
      </c>
      <c r="O11">
        <v>4193.5483870967746</v>
      </c>
      <c r="P11">
        <v>108067.74193548388</v>
      </c>
      <c r="Q11">
        <v>8580</v>
      </c>
      <c r="R11">
        <v>107567.74193548388</v>
      </c>
      <c r="S11">
        <v>98987.741935483878</v>
      </c>
    </row>
    <row r="12" spans="1:19">
      <c r="A12">
        <v>122438</v>
      </c>
      <c r="B12" t="s">
        <v>47</v>
      </c>
      <c r="C12" t="s">
        <v>95</v>
      </c>
      <c r="D12" t="s">
        <v>25</v>
      </c>
      <c r="E12">
        <v>1224140038</v>
      </c>
      <c r="F12">
        <v>65000</v>
      </c>
      <c r="G12">
        <v>26000</v>
      </c>
      <c r="H12">
        <v>6500</v>
      </c>
      <c r="I12">
        <v>3250</v>
      </c>
      <c r="J12">
        <v>3</v>
      </c>
      <c r="K12">
        <v>262.09677419354841</v>
      </c>
      <c r="L12">
        <v>786.29032258064524</v>
      </c>
      <c r="M12">
        <v>10725</v>
      </c>
      <c r="N12">
        <v>2</v>
      </c>
      <c r="O12">
        <v>4193.5483870967746</v>
      </c>
      <c r="P12">
        <v>108067.74193548388</v>
      </c>
      <c r="Q12">
        <v>8580</v>
      </c>
      <c r="R12">
        <v>107567.74193548388</v>
      </c>
      <c r="S12">
        <v>98987.741935483878</v>
      </c>
    </row>
    <row r="13" spans="1:19">
      <c r="A13">
        <v>122437</v>
      </c>
      <c r="B13" t="s">
        <v>46</v>
      </c>
      <c r="C13" t="s">
        <v>94</v>
      </c>
      <c r="D13" t="s">
        <v>25</v>
      </c>
      <c r="E13">
        <v>1224140037</v>
      </c>
      <c r="F13">
        <v>65000</v>
      </c>
      <c r="G13">
        <v>26000</v>
      </c>
      <c r="H13">
        <v>6500</v>
      </c>
      <c r="I13">
        <v>3250</v>
      </c>
      <c r="J13">
        <v>2</v>
      </c>
      <c r="K13">
        <v>262.09677419354841</v>
      </c>
      <c r="L13">
        <v>524.19354838709683</v>
      </c>
      <c r="M13">
        <v>10725</v>
      </c>
      <c r="N13">
        <v>2</v>
      </c>
      <c r="O13">
        <v>4193.5483870967746</v>
      </c>
      <c r="P13">
        <v>107805.64516129032</v>
      </c>
      <c r="Q13">
        <v>8580</v>
      </c>
      <c r="R13">
        <v>107305.64516129032</v>
      </c>
      <c r="S13">
        <v>98725.645161290318</v>
      </c>
    </row>
    <row r="14" spans="1:19">
      <c r="A14">
        <v>122436</v>
      </c>
      <c r="B14" t="s">
        <v>45</v>
      </c>
      <c r="C14" t="s">
        <v>93</v>
      </c>
      <c r="D14" t="s">
        <v>25</v>
      </c>
      <c r="E14">
        <v>1224140036</v>
      </c>
      <c r="F14">
        <v>65000</v>
      </c>
      <c r="G14">
        <v>26000</v>
      </c>
      <c r="H14">
        <v>6500</v>
      </c>
      <c r="I14">
        <v>3250</v>
      </c>
      <c r="J14">
        <v>12</v>
      </c>
      <c r="K14">
        <v>262.09677419354841</v>
      </c>
      <c r="L14">
        <v>3145.161290322581</v>
      </c>
      <c r="M14">
        <v>10725</v>
      </c>
      <c r="N14">
        <v>3</v>
      </c>
      <c r="O14">
        <v>6290.3225806451619</v>
      </c>
      <c r="P14">
        <v>108329.83870967741</v>
      </c>
      <c r="Q14">
        <v>8580</v>
      </c>
      <c r="R14">
        <v>107829.83870967741</v>
      </c>
      <c r="S14">
        <v>99249.838709677409</v>
      </c>
    </row>
    <row r="15" spans="1:19">
      <c r="A15">
        <v>122414</v>
      </c>
      <c r="B15" t="s">
        <v>19</v>
      </c>
      <c r="C15" t="s">
        <v>73</v>
      </c>
      <c r="D15" t="s">
        <v>25</v>
      </c>
      <c r="E15">
        <v>1224140014</v>
      </c>
      <c r="F15">
        <v>70000</v>
      </c>
      <c r="G15">
        <v>28000</v>
      </c>
      <c r="H15">
        <v>7000</v>
      </c>
      <c r="I15">
        <v>3500</v>
      </c>
      <c r="J15">
        <v>13</v>
      </c>
      <c r="K15">
        <v>282.25806451612902</v>
      </c>
      <c r="L15">
        <v>3669.3548387096771</v>
      </c>
      <c r="M15">
        <v>11550</v>
      </c>
      <c r="N15">
        <v>2</v>
      </c>
      <c r="O15">
        <v>4516.1290322580644</v>
      </c>
      <c r="P15">
        <v>119203.22580645162</v>
      </c>
      <c r="Q15">
        <v>9240</v>
      </c>
      <c r="R15">
        <v>118703.22580645162</v>
      </c>
      <c r="S15">
        <v>109463.22580645162</v>
      </c>
    </row>
    <row r="16" spans="1:19">
      <c r="A16">
        <v>122434</v>
      </c>
      <c r="B16" t="s">
        <v>43</v>
      </c>
      <c r="C16" t="s">
        <v>16</v>
      </c>
      <c r="D16" t="s">
        <v>25</v>
      </c>
      <c r="E16">
        <v>1224140034</v>
      </c>
      <c r="F16">
        <v>65000</v>
      </c>
      <c r="G16">
        <v>26000</v>
      </c>
      <c r="H16">
        <v>6500</v>
      </c>
      <c r="I16">
        <v>3250</v>
      </c>
      <c r="J16">
        <v>10</v>
      </c>
      <c r="K16">
        <v>262.09677419354841</v>
      </c>
      <c r="L16">
        <v>2620.9677419354839</v>
      </c>
      <c r="M16">
        <v>10725</v>
      </c>
      <c r="N16">
        <v>3</v>
      </c>
      <c r="O16">
        <v>6290.3225806451619</v>
      </c>
      <c r="P16">
        <v>107805.64516129032</v>
      </c>
      <c r="Q16">
        <v>8580</v>
      </c>
      <c r="R16">
        <v>107305.64516129032</v>
      </c>
      <c r="S16">
        <v>98725.645161290318</v>
      </c>
    </row>
    <row r="17" spans="1:19">
      <c r="A17">
        <v>122433</v>
      </c>
      <c r="B17" t="s">
        <v>42</v>
      </c>
      <c r="C17" t="s">
        <v>91</v>
      </c>
      <c r="D17" t="s">
        <v>25</v>
      </c>
      <c r="E17">
        <v>1224140033</v>
      </c>
      <c r="F17">
        <v>30000</v>
      </c>
      <c r="G17">
        <v>12000</v>
      </c>
      <c r="H17">
        <v>3000</v>
      </c>
      <c r="I17">
        <v>1500</v>
      </c>
      <c r="J17">
        <v>9</v>
      </c>
      <c r="K17">
        <v>120.96774193548387</v>
      </c>
      <c r="L17">
        <v>1088.7096774193549</v>
      </c>
      <c r="M17">
        <v>4950</v>
      </c>
      <c r="N17">
        <v>3</v>
      </c>
      <c r="O17">
        <v>2903.2258064516127</v>
      </c>
      <c r="P17">
        <v>49635.483870967742</v>
      </c>
      <c r="Q17">
        <v>3960</v>
      </c>
      <c r="R17">
        <v>49135.483870967742</v>
      </c>
      <c r="S17">
        <v>45175.483870967742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topLeftCell="C1" workbookViewId="0">
      <selection activeCell="C3" sqref="C3"/>
    </sheetView>
  </sheetViews>
  <sheetFormatPr defaultRowHeight="15"/>
  <cols>
    <col min="1" max="1" width="13.5703125" bestFit="1" customWidth="1"/>
    <col min="2" max="2" width="26.5703125" customWidth="1"/>
    <col min="3" max="3" width="25.7109375" customWidth="1"/>
    <col min="4" max="4" width="31.28515625" customWidth="1"/>
    <col min="5" max="5" width="20.85546875" bestFit="1" customWidth="1"/>
  </cols>
  <sheetData>
    <row r="1" spans="1:4">
      <c r="B1" s="41" t="s">
        <v>122</v>
      </c>
    </row>
    <row r="2" spans="1:4">
      <c r="A2" s="41" t="s">
        <v>136</v>
      </c>
      <c r="B2" s="53" t="s">
        <v>138</v>
      </c>
      <c r="C2" s="53" t="s">
        <v>137</v>
      </c>
      <c r="D2" s="53" t="s">
        <v>139</v>
      </c>
    </row>
    <row r="3" spans="1:4">
      <c r="A3" s="42" t="s">
        <v>24</v>
      </c>
      <c r="B3" s="35">
        <v>237765</v>
      </c>
      <c r="C3" s="35">
        <v>2156312.6774193547</v>
      </c>
      <c r="D3" s="35">
        <v>73887.09677419356</v>
      </c>
    </row>
    <row r="4" spans="1:4">
      <c r="A4" s="42" t="s">
        <v>25</v>
      </c>
      <c r="B4" s="35">
        <v>181995</v>
      </c>
      <c r="C4" s="35">
        <v>1659157.8709677418</v>
      </c>
      <c r="D4" s="35">
        <v>37205.645161290326</v>
      </c>
    </row>
    <row r="5" spans="1:4">
      <c r="A5" s="42" t="s">
        <v>26</v>
      </c>
      <c r="B5" s="35">
        <v>194865</v>
      </c>
      <c r="C5" s="35">
        <v>1759885.9032258065</v>
      </c>
      <c r="D5" s="35">
        <v>38927.419354838705</v>
      </c>
    </row>
    <row r="6" spans="1:4">
      <c r="A6" s="42" t="s">
        <v>130</v>
      </c>
      <c r="B6" s="35">
        <v>614625</v>
      </c>
      <c r="C6" s="35">
        <v>5575356.4516129028</v>
      </c>
      <c r="D6" s="35">
        <v>150020.16129032258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2"/>
  <sheetViews>
    <sheetView workbookViewId="0">
      <selection sqref="A1:S52"/>
    </sheetView>
  </sheetViews>
  <sheetFormatPr defaultRowHeight="15"/>
  <cols>
    <col min="1" max="1" width="9.28515625" customWidth="1"/>
    <col min="3" max="3" width="17.140625" customWidth="1"/>
    <col min="4" max="4" width="15.140625" customWidth="1"/>
    <col min="5" max="5" width="20" customWidth="1"/>
    <col min="6" max="6" width="15.28515625" customWidth="1"/>
    <col min="7" max="7" width="12.28515625" customWidth="1"/>
    <col min="8" max="8" width="11.140625" customWidth="1"/>
    <col min="9" max="9" width="19.7109375" customWidth="1"/>
    <col min="10" max="10" width="18.85546875" customWidth="1"/>
    <col min="11" max="11" width="10.85546875" customWidth="1"/>
    <col min="12" max="12" width="19.28515625" customWidth="1"/>
    <col min="13" max="13" width="14.85546875" customWidth="1"/>
    <col min="14" max="14" width="9.5703125" customWidth="1"/>
    <col min="15" max="15" width="25.42578125" customWidth="1"/>
    <col min="16" max="16" width="16" customWidth="1"/>
    <col min="17" max="17" width="10.7109375" customWidth="1"/>
    <col min="18" max="18" width="18.5703125" customWidth="1"/>
    <col min="19" max="19" width="14" customWidth="1"/>
  </cols>
  <sheetData>
    <row r="1" spans="1:19">
      <c r="A1" t="s">
        <v>110</v>
      </c>
      <c r="B1" t="s">
        <v>3</v>
      </c>
      <c r="C1" t="s">
        <v>4</v>
      </c>
      <c r="D1" t="s">
        <v>109</v>
      </c>
      <c r="E1" t="s">
        <v>120</v>
      </c>
      <c r="F1" t="s">
        <v>5</v>
      </c>
      <c r="G1" t="s">
        <v>112</v>
      </c>
      <c r="H1" t="s">
        <v>113</v>
      </c>
      <c r="I1" t="s">
        <v>114</v>
      </c>
      <c r="J1" t="s">
        <v>0</v>
      </c>
      <c r="K1" t="s">
        <v>115</v>
      </c>
      <c r="L1" t="s">
        <v>1</v>
      </c>
      <c r="M1" t="s">
        <v>116</v>
      </c>
      <c r="N1" t="s">
        <v>111</v>
      </c>
      <c r="O1" t="s">
        <v>117</v>
      </c>
      <c r="P1" t="s">
        <v>2</v>
      </c>
      <c r="Q1" t="s">
        <v>23</v>
      </c>
      <c r="R1" t="s">
        <v>119</v>
      </c>
      <c r="S1" t="s">
        <v>118</v>
      </c>
    </row>
    <row r="2" spans="1:19">
      <c r="A2">
        <v>122402</v>
      </c>
      <c r="B2" t="s">
        <v>12</v>
      </c>
      <c r="C2" t="s">
        <v>61</v>
      </c>
      <c r="D2" t="s">
        <v>24</v>
      </c>
      <c r="E2">
        <v>1224140002</v>
      </c>
      <c r="F2">
        <v>20000</v>
      </c>
      <c r="G2">
        <v>8000</v>
      </c>
      <c r="H2">
        <v>2000</v>
      </c>
      <c r="I2">
        <v>1000</v>
      </c>
      <c r="J2">
        <v>9</v>
      </c>
      <c r="K2">
        <v>80.645161290322577</v>
      </c>
      <c r="L2">
        <v>725.80645161290317</v>
      </c>
      <c r="M2">
        <v>3300</v>
      </c>
      <c r="N2">
        <v>4</v>
      </c>
      <c r="O2">
        <v>2580.6451612903224</v>
      </c>
      <c r="P2">
        <v>32445.16129032258</v>
      </c>
      <c r="Q2">
        <v>2640</v>
      </c>
      <c r="R2">
        <v>31945.16129032258</v>
      </c>
      <c r="S2">
        <v>29305.16129032258</v>
      </c>
    </row>
    <row r="3" spans="1:19">
      <c r="A3">
        <v>122403</v>
      </c>
      <c r="B3" t="s">
        <v>7</v>
      </c>
      <c r="C3" t="s">
        <v>62</v>
      </c>
      <c r="D3" t="s">
        <v>24</v>
      </c>
      <c r="E3">
        <v>1224140003</v>
      </c>
      <c r="F3">
        <v>176000</v>
      </c>
      <c r="G3">
        <v>70400</v>
      </c>
      <c r="H3">
        <v>17600</v>
      </c>
      <c r="I3">
        <v>8800</v>
      </c>
      <c r="J3">
        <v>20</v>
      </c>
      <c r="K3">
        <v>709.67741935483866</v>
      </c>
      <c r="L3">
        <v>14193.548387096773</v>
      </c>
      <c r="M3">
        <v>29040</v>
      </c>
      <c r="N3">
        <v>5</v>
      </c>
      <c r="O3">
        <v>28387.096774193546</v>
      </c>
      <c r="P3">
        <v>287646.45161290327</v>
      </c>
      <c r="Q3">
        <v>23232</v>
      </c>
      <c r="R3">
        <v>287146.45161290327</v>
      </c>
      <c r="S3">
        <v>263914.45161290327</v>
      </c>
    </row>
    <row r="4" spans="1:19">
      <c r="A4">
        <v>122404</v>
      </c>
      <c r="B4" t="s">
        <v>10</v>
      </c>
      <c r="C4" t="s">
        <v>63</v>
      </c>
      <c r="D4" t="s">
        <v>24</v>
      </c>
      <c r="E4">
        <v>1224140004</v>
      </c>
      <c r="F4">
        <v>43000</v>
      </c>
      <c r="G4">
        <v>17200</v>
      </c>
      <c r="H4">
        <v>4300</v>
      </c>
      <c r="I4">
        <v>2150</v>
      </c>
      <c r="J4">
        <v>13</v>
      </c>
      <c r="K4">
        <v>173.38709677419354</v>
      </c>
      <c r="L4">
        <v>2254.0322580645161</v>
      </c>
      <c r="M4">
        <v>7095</v>
      </c>
      <c r="N4">
        <v>6</v>
      </c>
      <c r="O4">
        <v>8322.5806451612898</v>
      </c>
      <c r="P4">
        <v>67676.451612903227</v>
      </c>
      <c r="Q4">
        <v>5676</v>
      </c>
      <c r="R4">
        <v>67176.451612903227</v>
      </c>
      <c r="S4">
        <v>61500.451612903227</v>
      </c>
    </row>
    <row r="5" spans="1:19">
      <c r="A5">
        <v>122411</v>
      </c>
      <c r="B5" t="s">
        <v>16</v>
      </c>
      <c r="C5" t="s">
        <v>70</v>
      </c>
      <c r="D5" t="s">
        <v>24</v>
      </c>
      <c r="E5">
        <v>1224140011</v>
      </c>
      <c r="F5">
        <v>75000</v>
      </c>
      <c r="G5">
        <v>30000</v>
      </c>
      <c r="H5">
        <v>7500</v>
      </c>
      <c r="I5">
        <v>3750</v>
      </c>
      <c r="J5">
        <v>11</v>
      </c>
      <c r="K5">
        <v>302.41935483870969</v>
      </c>
      <c r="L5">
        <v>3326.6129032258068</v>
      </c>
      <c r="M5">
        <v>12375</v>
      </c>
      <c r="N5">
        <v>2</v>
      </c>
      <c r="O5">
        <v>4838.7096774193551</v>
      </c>
      <c r="P5">
        <v>127112.90322580647</v>
      </c>
      <c r="Q5">
        <v>9900</v>
      </c>
      <c r="R5">
        <v>126612.90322580647</v>
      </c>
      <c r="S5">
        <v>116712.90322580647</v>
      </c>
    </row>
    <row r="6" spans="1:19">
      <c r="A6">
        <v>122412</v>
      </c>
      <c r="B6" t="s">
        <v>17</v>
      </c>
      <c r="C6" t="s">
        <v>71</v>
      </c>
      <c r="D6" t="s">
        <v>24</v>
      </c>
      <c r="E6">
        <v>1224140012</v>
      </c>
      <c r="F6">
        <v>65000</v>
      </c>
      <c r="G6">
        <v>26000</v>
      </c>
      <c r="H6">
        <v>6500</v>
      </c>
      <c r="I6">
        <v>3250</v>
      </c>
      <c r="J6">
        <v>7</v>
      </c>
      <c r="K6">
        <v>262.09677419354841</v>
      </c>
      <c r="L6">
        <v>1834.677419354839</v>
      </c>
      <c r="M6">
        <v>10725</v>
      </c>
      <c r="N6">
        <v>2</v>
      </c>
      <c r="O6">
        <v>4193.5483870967746</v>
      </c>
      <c r="P6">
        <v>109116.12903225806</v>
      </c>
      <c r="Q6">
        <v>8580</v>
      </c>
      <c r="R6">
        <v>108616.12903225806</v>
      </c>
      <c r="S6">
        <v>100036.12903225806</v>
      </c>
    </row>
    <row r="7" spans="1:19">
      <c r="A7">
        <v>122415</v>
      </c>
      <c r="B7" t="s">
        <v>20</v>
      </c>
      <c r="C7" t="s">
        <v>74</v>
      </c>
      <c r="D7" t="s">
        <v>24</v>
      </c>
      <c r="E7">
        <v>1224140015</v>
      </c>
      <c r="F7">
        <v>65000</v>
      </c>
      <c r="G7">
        <v>26000</v>
      </c>
      <c r="H7">
        <v>6500</v>
      </c>
      <c r="I7">
        <v>3250</v>
      </c>
      <c r="J7">
        <v>14</v>
      </c>
      <c r="K7">
        <v>262.09677419354841</v>
      </c>
      <c r="L7">
        <v>3669.354838709678</v>
      </c>
      <c r="M7">
        <v>10725</v>
      </c>
      <c r="N7">
        <v>2</v>
      </c>
      <c r="O7">
        <v>4193.5483870967746</v>
      </c>
      <c r="P7">
        <v>110950.80645161291</v>
      </c>
      <c r="Q7">
        <v>8580</v>
      </c>
      <c r="R7">
        <v>110450.80645161291</v>
      </c>
      <c r="S7">
        <v>101870.80645161291</v>
      </c>
    </row>
    <row r="8" spans="1:19">
      <c r="A8">
        <v>122416</v>
      </c>
      <c r="B8" t="s">
        <v>21</v>
      </c>
      <c r="C8" t="s">
        <v>75</v>
      </c>
      <c r="D8" t="s">
        <v>24</v>
      </c>
      <c r="E8">
        <v>1224140016</v>
      </c>
      <c r="F8">
        <v>56000</v>
      </c>
      <c r="G8">
        <v>22400</v>
      </c>
      <c r="H8">
        <v>5600</v>
      </c>
      <c r="I8">
        <v>2800</v>
      </c>
      <c r="J8">
        <v>7</v>
      </c>
      <c r="K8">
        <v>225.80645161290323</v>
      </c>
      <c r="L8">
        <v>1580.6451612903227</v>
      </c>
      <c r="M8">
        <v>9240</v>
      </c>
      <c r="N8">
        <v>2</v>
      </c>
      <c r="O8">
        <v>3612.9032258064517</v>
      </c>
      <c r="P8">
        <v>94007.741935483864</v>
      </c>
      <c r="Q8">
        <v>7392</v>
      </c>
      <c r="R8">
        <v>93507.741935483864</v>
      </c>
      <c r="S8">
        <v>86115.741935483864</v>
      </c>
    </row>
    <row r="9" spans="1:19">
      <c r="A9">
        <v>122417</v>
      </c>
      <c r="B9" t="s">
        <v>22</v>
      </c>
      <c r="C9" t="s">
        <v>76</v>
      </c>
      <c r="D9" t="s">
        <v>24</v>
      </c>
      <c r="E9">
        <v>1224140017</v>
      </c>
      <c r="F9">
        <v>56000</v>
      </c>
      <c r="G9">
        <v>22400</v>
      </c>
      <c r="H9">
        <v>5600</v>
      </c>
      <c r="I9">
        <v>2800</v>
      </c>
      <c r="J9">
        <v>8</v>
      </c>
      <c r="K9">
        <v>225.80645161290323</v>
      </c>
      <c r="L9">
        <v>1806.4516129032259</v>
      </c>
      <c r="M9">
        <v>9240</v>
      </c>
      <c r="N9">
        <v>5</v>
      </c>
      <c r="O9">
        <v>9032.2580645161288</v>
      </c>
      <c r="P9">
        <v>88814.193548387091</v>
      </c>
      <c r="Q9">
        <v>7392</v>
      </c>
      <c r="R9">
        <v>88314.193548387091</v>
      </c>
      <c r="S9">
        <v>80922.193548387091</v>
      </c>
    </row>
    <row r="10" spans="1:19">
      <c r="A10">
        <v>122418</v>
      </c>
      <c r="B10" t="s">
        <v>27</v>
      </c>
      <c r="C10" t="s">
        <v>77</v>
      </c>
      <c r="D10" t="s">
        <v>24</v>
      </c>
      <c r="E10">
        <v>1224140018</v>
      </c>
      <c r="F10">
        <v>245000</v>
      </c>
      <c r="G10">
        <v>98000</v>
      </c>
      <c r="H10">
        <v>24500</v>
      </c>
      <c r="I10">
        <v>12250</v>
      </c>
      <c r="J10">
        <v>9</v>
      </c>
      <c r="K10">
        <v>987.90322580645159</v>
      </c>
      <c r="L10">
        <v>8891.1290322580644</v>
      </c>
      <c r="M10">
        <v>40425</v>
      </c>
      <c r="N10">
        <v>5</v>
      </c>
      <c r="O10">
        <v>39516.129032258061</v>
      </c>
      <c r="P10">
        <v>389550</v>
      </c>
      <c r="Q10">
        <v>32340</v>
      </c>
      <c r="R10">
        <v>389050</v>
      </c>
      <c r="S10">
        <v>356710</v>
      </c>
    </row>
    <row r="11" spans="1:19">
      <c r="A11">
        <v>122425</v>
      </c>
      <c r="B11" t="s">
        <v>34</v>
      </c>
      <c r="C11" t="s">
        <v>83</v>
      </c>
      <c r="D11" t="s">
        <v>24</v>
      </c>
      <c r="E11">
        <v>1224140025</v>
      </c>
      <c r="F11">
        <v>150000</v>
      </c>
      <c r="G11">
        <v>60000</v>
      </c>
      <c r="H11">
        <v>15000</v>
      </c>
      <c r="I11">
        <v>7500</v>
      </c>
      <c r="J11">
        <v>16</v>
      </c>
      <c r="K11">
        <v>604.83870967741939</v>
      </c>
      <c r="L11">
        <v>9677.4193548387102</v>
      </c>
      <c r="M11">
        <v>24750</v>
      </c>
      <c r="N11">
        <v>3</v>
      </c>
      <c r="O11">
        <v>14516.129032258064</v>
      </c>
      <c r="P11">
        <v>252411.29032258061</v>
      </c>
      <c r="Q11">
        <v>19800</v>
      </c>
      <c r="R11">
        <v>251911.29032258061</v>
      </c>
      <c r="S11">
        <v>232111.29032258061</v>
      </c>
    </row>
    <row r="12" spans="1:19">
      <c r="A12">
        <v>122426</v>
      </c>
      <c r="B12" t="s">
        <v>35</v>
      </c>
      <c r="C12" t="s">
        <v>84</v>
      </c>
      <c r="D12" t="s">
        <v>24</v>
      </c>
      <c r="E12">
        <v>1224140026</v>
      </c>
      <c r="F12">
        <v>45000</v>
      </c>
      <c r="G12">
        <v>18000</v>
      </c>
      <c r="H12">
        <v>4500</v>
      </c>
      <c r="I12">
        <v>2250</v>
      </c>
      <c r="J12">
        <v>17</v>
      </c>
      <c r="K12">
        <v>181.45161290322579</v>
      </c>
      <c r="L12">
        <v>3084.6774193548385</v>
      </c>
      <c r="M12">
        <v>7425</v>
      </c>
      <c r="N12">
        <v>4</v>
      </c>
      <c r="O12">
        <v>5806.4516129032254</v>
      </c>
      <c r="P12">
        <v>74453.225806451606</v>
      </c>
      <c r="Q12">
        <v>5940</v>
      </c>
      <c r="R12">
        <v>73953.225806451606</v>
      </c>
      <c r="S12">
        <v>68013.225806451606</v>
      </c>
    </row>
    <row r="13" spans="1:19">
      <c r="A13">
        <v>122427</v>
      </c>
      <c r="B13" t="s">
        <v>36</v>
      </c>
      <c r="C13" t="s">
        <v>85</v>
      </c>
      <c r="D13" t="s">
        <v>24</v>
      </c>
      <c r="E13">
        <v>1224140027</v>
      </c>
      <c r="F13">
        <v>230000</v>
      </c>
      <c r="G13">
        <v>92000</v>
      </c>
      <c r="H13">
        <v>23000</v>
      </c>
      <c r="I13">
        <v>11500</v>
      </c>
      <c r="J13">
        <v>18</v>
      </c>
      <c r="K13">
        <v>927.41935483870964</v>
      </c>
      <c r="L13">
        <v>16693.548387096773</v>
      </c>
      <c r="M13">
        <v>37950</v>
      </c>
      <c r="N13">
        <v>5</v>
      </c>
      <c r="O13">
        <v>37096.774193548386</v>
      </c>
      <c r="P13">
        <v>374046.77419354842</v>
      </c>
      <c r="Q13">
        <v>30360</v>
      </c>
      <c r="R13">
        <v>373546.77419354842</v>
      </c>
      <c r="S13">
        <v>343186.77419354842</v>
      </c>
    </row>
    <row r="14" spans="1:19">
      <c r="A14">
        <v>122428</v>
      </c>
      <c r="B14" t="s">
        <v>37</v>
      </c>
      <c r="C14" t="s">
        <v>86</v>
      </c>
      <c r="D14" t="s">
        <v>24</v>
      </c>
      <c r="E14">
        <v>1224140028</v>
      </c>
      <c r="F14">
        <v>30000</v>
      </c>
      <c r="G14">
        <v>12000</v>
      </c>
      <c r="H14">
        <v>3000</v>
      </c>
      <c r="I14">
        <v>1500</v>
      </c>
      <c r="J14">
        <v>1</v>
      </c>
      <c r="K14">
        <v>120.96774193548387</v>
      </c>
      <c r="L14">
        <v>120.96774193548387</v>
      </c>
      <c r="M14">
        <v>4950</v>
      </c>
      <c r="N14">
        <v>6</v>
      </c>
      <c r="O14">
        <v>5806.4516129032254</v>
      </c>
      <c r="P14">
        <v>45764.516129032258</v>
      </c>
      <c r="Q14">
        <v>3960</v>
      </c>
      <c r="R14">
        <v>45264.516129032258</v>
      </c>
      <c r="S14">
        <v>41304.516129032258</v>
      </c>
    </row>
    <row r="15" spans="1:19">
      <c r="A15">
        <v>122429</v>
      </c>
      <c r="B15" t="s">
        <v>38</v>
      </c>
      <c r="C15" t="s">
        <v>87</v>
      </c>
      <c r="D15" t="s">
        <v>24</v>
      </c>
      <c r="E15">
        <v>1224140029</v>
      </c>
      <c r="F15">
        <v>30000</v>
      </c>
      <c r="G15">
        <v>12000</v>
      </c>
      <c r="H15">
        <v>3000</v>
      </c>
      <c r="I15">
        <v>1500</v>
      </c>
      <c r="J15">
        <v>5</v>
      </c>
      <c r="K15">
        <v>120.96774193548387</v>
      </c>
      <c r="L15">
        <v>604.83870967741939</v>
      </c>
      <c r="M15">
        <v>4950</v>
      </c>
      <c r="N15">
        <v>7</v>
      </c>
      <c r="O15">
        <v>6774.1935483870966</v>
      </c>
      <c r="P15">
        <v>45280.645161290318</v>
      </c>
      <c r="Q15">
        <v>3960</v>
      </c>
      <c r="R15">
        <v>44780.645161290318</v>
      </c>
      <c r="S15">
        <v>40820.645161290318</v>
      </c>
    </row>
    <row r="16" spans="1:19">
      <c r="A16">
        <v>122430</v>
      </c>
      <c r="B16" t="s">
        <v>39</v>
      </c>
      <c r="C16" t="s">
        <v>88</v>
      </c>
      <c r="D16" t="s">
        <v>24</v>
      </c>
      <c r="E16">
        <v>1224140030</v>
      </c>
      <c r="F16">
        <v>30000</v>
      </c>
      <c r="G16">
        <v>12000</v>
      </c>
      <c r="H16">
        <v>3000</v>
      </c>
      <c r="I16">
        <v>1500</v>
      </c>
      <c r="J16">
        <v>6</v>
      </c>
      <c r="K16">
        <v>120.96774193548387</v>
      </c>
      <c r="L16">
        <v>725.80645161290317</v>
      </c>
      <c r="M16">
        <v>4950</v>
      </c>
      <c r="N16">
        <v>3</v>
      </c>
      <c r="O16">
        <v>2903.2258064516127</v>
      </c>
      <c r="P16">
        <v>49272.580645161288</v>
      </c>
      <c r="Q16">
        <v>3960</v>
      </c>
      <c r="R16">
        <v>48772.580645161288</v>
      </c>
      <c r="S16">
        <v>44812.580645161288</v>
      </c>
    </row>
    <row r="17" spans="1:19">
      <c r="A17">
        <v>122431</v>
      </c>
      <c r="B17" t="s">
        <v>40</v>
      </c>
      <c r="C17" t="s">
        <v>89</v>
      </c>
      <c r="D17" t="s">
        <v>24</v>
      </c>
      <c r="E17">
        <v>1224140031</v>
      </c>
      <c r="F17">
        <v>30000</v>
      </c>
      <c r="G17">
        <v>12000</v>
      </c>
      <c r="H17">
        <v>3000</v>
      </c>
      <c r="I17">
        <v>1500</v>
      </c>
      <c r="J17">
        <v>7</v>
      </c>
      <c r="K17">
        <v>120.96774193548387</v>
      </c>
      <c r="L17">
        <v>846.77419354838707</v>
      </c>
      <c r="M17">
        <v>4950</v>
      </c>
      <c r="N17">
        <v>3</v>
      </c>
      <c r="O17">
        <v>2903.2258064516127</v>
      </c>
      <c r="P17">
        <v>49393.548387096773</v>
      </c>
      <c r="Q17">
        <v>3960</v>
      </c>
      <c r="R17">
        <v>48893.548387096773</v>
      </c>
      <c r="S17">
        <v>44933.548387096773</v>
      </c>
    </row>
    <row r="18" spans="1:19">
      <c r="A18">
        <v>122432</v>
      </c>
      <c r="B18" t="s">
        <v>41</v>
      </c>
      <c r="C18" t="s">
        <v>90</v>
      </c>
      <c r="D18" t="s">
        <v>24</v>
      </c>
      <c r="E18">
        <v>1224140032</v>
      </c>
      <c r="F18">
        <v>30000</v>
      </c>
      <c r="G18">
        <v>12000</v>
      </c>
      <c r="H18">
        <v>3000</v>
      </c>
      <c r="I18">
        <v>1500</v>
      </c>
      <c r="J18">
        <v>8</v>
      </c>
      <c r="K18">
        <v>120.96774193548387</v>
      </c>
      <c r="L18">
        <v>967.74193548387098</v>
      </c>
      <c r="M18">
        <v>4950</v>
      </c>
      <c r="N18">
        <v>3</v>
      </c>
      <c r="O18">
        <v>2903.2258064516127</v>
      </c>
      <c r="P18">
        <v>49514.516129032258</v>
      </c>
      <c r="Q18">
        <v>3960</v>
      </c>
      <c r="R18">
        <v>49014.516129032258</v>
      </c>
      <c r="S18">
        <v>45054.516129032258</v>
      </c>
    </row>
    <row r="19" spans="1:19">
      <c r="A19">
        <v>122435</v>
      </c>
      <c r="B19" t="s">
        <v>44</v>
      </c>
      <c r="C19" t="s">
        <v>92</v>
      </c>
      <c r="D19" t="s">
        <v>24</v>
      </c>
      <c r="E19">
        <v>1224140035</v>
      </c>
      <c r="F19">
        <v>65000</v>
      </c>
      <c r="G19">
        <v>26000</v>
      </c>
      <c r="H19">
        <v>6500</v>
      </c>
      <c r="I19">
        <v>3250</v>
      </c>
      <c r="J19">
        <v>11</v>
      </c>
      <c r="K19">
        <v>262.09677419354841</v>
      </c>
      <c r="L19">
        <v>2883.0645161290327</v>
      </c>
      <c r="M19">
        <v>10725</v>
      </c>
      <c r="N19">
        <v>3</v>
      </c>
      <c r="O19">
        <v>6290.3225806451619</v>
      </c>
      <c r="P19">
        <v>108067.74193548386</v>
      </c>
      <c r="Q19">
        <v>8580</v>
      </c>
      <c r="R19">
        <v>107567.74193548386</v>
      </c>
      <c r="S19">
        <v>98987.741935483864</v>
      </c>
    </row>
    <row r="20" spans="1:19">
      <c r="A20">
        <v>122401</v>
      </c>
      <c r="B20" t="s">
        <v>6</v>
      </c>
      <c r="C20" t="s">
        <v>60</v>
      </c>
      <c r="D20" t="s">
        <v>25</v>
      </c>
      <c r="E20">
        <v>1224140001</v>
      </c>
      <c r="F20">
        <v>150000</v>
      </c>
      <c r="G20">
        <v>60000</v>
      </c>
      <c r="H20">
        <v>15000</v>
      </c>
      <c r="I20">
        <v>7500</v>
      </c>
      <c r="J20">
        <v>4</v>
      </c>
      <c r="K20">
        <v>604.83870967741939</v>
      </c>
      <c r="L20">
        <v>2419.3548387096776</v>
      </c>
      <c r="M20">
        <v>24750</v>
      </c>
      <c r="N20">
        <v>3</v>
      </c>
      <c r="O20">
        <v>14516.129032258064</v>
      </c>
      <c r="P20">
        <v>245153.22580645161</v>
      </c>
      <c r="Q20">
        <v>19800</v>
      </c>
      <c r="R20">
        <v>244653.22580645161</v>
      </c>
      <c r="S20">
        <v>224853.22580645161</v>
      </c>
    </row>
    <row r="21" spans="1:19">
      <c r="A21">
        <v>122405</v>
      </c>
      <c r="B21" t="s">
        <v>11</v>
      </c>
      <c r="C21" t="s">
        <v>64</v>
      </c>
      <c r="D21" t="s">
        <v>25</v>
      </c>
      <c r="E21">
        <v>1224140005</v>
      </c>
      <c r="F21">
        <v>66000</v>
      </c>
      <c r="G21">
        <v>26400</v>
      </c>
      <c r="H21">
        <v>6600</v>
      </c>
      <c r="I21">
        <v>3300</v>
      </c>
      <c r="J21">
        <v>12</v>
      </c>
      <c r="K21">
        <v>266.12903225806451</v>
      </c>
      <c r="L21">
        <v>3193.5483870967741</v>
      </c>
      <c r="M21">
        <v>10890</v>
      </c>
      <c r="N21">
        <v>7</v>
      </c>
      <c r="O21">
        <v>14903.225806451614</v>
      </c>
      <c r="P21">
        <v>101480.32258064515</v>
      </c>
      <c r="Q21">
        <v>8712</v>
      </c>
      <c r="R21">
        <v>100980.32258064515</v>
      </c>
      <c r="S21">
        <v>92268.322580645152</v>
      </c>
    </row>
    <row r="22" spans="1:19">
      <c r="A22">
        <v>122406</v>
      </c>
      <c r="B22" t="s">
        <v>8</v>
      </c>
      <c r="C22" t="s">
        <v>65</v>
      </c>
      <c r="D22" t="s">
        <v>25</v>
      </c>
      <c r="E22">
        <v>1224140006</v>
      </c>
      <c r="F22">
        <v>44000</v>
      </c>
      <c r="G22">
        <v>17600</v>
      </c>
      <c r="H22">
        <v>4400</v>
      </c>
      <c r="I22">
        <v>2200</v>
      </c>
      <c r="J22">
        <v>9</v>
      </c>
      <c r="K22">
        <v>177.41935483870967</v>
      </c>
      <c r="L22">
        <v>1596.7741935483871</v>
      </c>
      <c r="M22">
        <v>7260</v>
      </c>
      <c r="N22">
        <v>8</v>
      </c>
      <c r="O22">
        <v>11354.838709677419</v>
      </c>
      <c r="P22">
        <v>65701.93548387097</v>
      </c>
      <c r="Q22">
        <v>5808</v>
      </c>
      <c r="R22">
        <v>65201.93548387097</v>
      </c>
      <c r="S22">
        <v>59393.93548387097</v>
      </c>
    </row>
    <row r="23" spans="1:19">
      <c r="A23">
        <v>122407</v>
      </c>
      <c r="B23" t="s">
        <v>9</v>
      </c>
      <c r="C23" t="s">
        <v>66</v>
      </c>
      <c r="D23" t="s">
        <v>25</v>
      </c>
      <c r="E23">
        <v>1224140007</v>
      </c>
      <c r="F23">
        <v>65000</v>
      </c>
      <c r="G23">
        <v>26000</v>
      </c>
      <c r="H23">
        <v>6500</v>
      </c>
      <c r="I23">
        <v>3250</v>
      </c>
      <c r="J23">
        <v>32</v>
      </c>
      <c r="K23">
        <v>262.09677419354841</v>
      </c>
      <c r="L23">
        <v>8387.0967741935492</v>
      </c>
      <c r="M23">
        <v>10725</v>
      </c>
      <c r="N23">
        <v>9</v>
      </c>
      <c r="O23">
        <v>18870.967741935485</v>
      </c>
      <c r="P23">
        <v>100991.12903225806</v>
      </c>
      <c r="Q23">
        <v>8580</v>
      </c>
      <c r="R23">
        <v>100491.12903225806</v>
      </c>
      <c r="S23">
        <v>91911.129032258061</v>
      </c>
    </row>
    <row r="24" spans="1:19">
      <c r="A24">
        <v>122408</v>
      </c>
      <c r="B24" t="s">
        <v>13</v>
      </c>
      <c r="C24" t="s">
        <v>67</v>
      </c>
      <c r="D24" t="s">
        <v>25</v>
      </c>
      <c r="E24">
        <v>1224140008</v>
      </c>
      <c r="F24">
        <v>65000</v>
      </c>
      <c r="G24">
        <v>26000</v>
      </c>
      <c r="H24">
        <v>6500</v>
      </c>
      <c r="I24">
        <v>3250</v>
      </c>
      <c r="J24">
        <v>21</v>
      </c>
      <c r="K24">
        <v>262.09677419354841</v>
      </c>
      <c r="L24">
        <v>5504.032258064517</v>
      </c>
      <c r="M24">
        <v>10725</v>
      </c>
      <c r="N24">
        <v>2</v>
      </c>
      <c r="O24">
        <v>4193.5483870967746</v>
      </c>
      <c r="P24">
        <v>112785.48387096774</v>
      </c>
      <c r="Q24">
        <v>8580</v>
      </c>
      <c r="R24">
        <v>112285.48387096774</v>
      </c>
      <c r="S24">
        <v>103705.48387096774</v>
      </c>
    </row>
    <row r="25" spans="1:19">
      <c r="A25">
        <v>122414</v>
      </c>
      <c r="B25" t="s">
        <v>19</v>
      </c>
      <c r="C25" t="s">
        <v>73</v>
      </c>
      <c r="D25" t="s">
        <v>25</v>
      </c>
      <c r="E25">
        <v>1224140014</v>
      </c>
      <c r="F25">
        <v>70000</v>
      </c>
      <c r="G25">
        <v>28000</v>
      </c>
      <c r="H25">
        <v>7000</v>
      </c>
      <c r="I25">
        <v>3500</v>
      </c>
      <c r="J25">
        <v>13</v>
      </c>
      <c r="K25">
        <v>282.25806451612902</v>
      </c>
      <c r="L25">
        <v>3669.3548387096771</v>
      </c>
      <c r="M25">
        <v>11550</v>
      </c>
      <c r="N25">
        <v>2</v>
      </c>
      <c r="O25">
        <v>4516.1290322580644</v>
      </c>
      <c r="P25">
        <v>119203.22580645162</v>
      </c>
      <c r="Q25">
        <v>9240</v>
      </c>
      <c r="R25">
        <v>118703.22580645162</v>
      </c>
      <c r="S25">
        <v>109463.22580645162</v>
      </c>
    </row>
    <row r="26" spans="1:19">
      <c r="A26">
        <v>122433</v>
      </c>
      <c r="B26" t="s">
        <v>42</v>
      </c>
      <c r="C26" t="s">
        <v>91</v>
      </c>
      <c r="D26" t="s">
        <v>25</v>
      </c>
      <c r="E26">
        <v>1224140033</v>
      </c>
      <c r="F26">
        <v>30000</v>
      </c>
      <c r="G26">
        <v>12000</v>
      </c>
      <c r="H26">
        <v>3000</v>
      </c>
      <c r="I26">
        <v>1500</v>
      </c>
      <c r="J26">
        <v>9</v>
      </c>
      <c r="K26">
        <v>120.96774193548387</v>
      </c>
      <c r="L26">
        <v>1088.7096774193549</v>
      </c>
      <c r="M26">
        <v>4950</v>
      </c>
      <c r="N26">
        <v>3</v>
      </c>
      <c r="O26">
        <v>2903.2258064516127</v>
      </c>
      <c r="P26">
        <v>49635.483870967742</v>
      </c>
      <c r="Q26">
        <v>3960</v>
      </c>
      <c r="R26">
        <v>49135.483870967742</v>
      </c>
      <c r="S26">
        <v>45175.483870967742</v>
      </c>
    </row>
    <row r="27" spans="1:19">
      <c r="A27">
        <v>122434</v>
      </c>
      <c r="B27" t="s">
        <v>43</v>
      </c>
      <c r="C27" t="s">
        <v>16</v>
      </c>
      <c r="D27" t="s">
        <v>25</v>
      </c>
      <c r="E27">
        <v>1224140034</v>
      </c>
      <c r="F27">
        <v>65000</v>
      </c>
      <c r="G27">
        <v>26000</v>
      </c>
      <c r="H27">
        <v>6500</v>
      </c>
      <c r="I27">
        <v>3250</v>
      </c>
      <c r="J27">
        <v>10</v>
      </c>
      <c r="K27">
        <v>262.09677419354841</v>
      </c>
      <c r="L27">
        <v>2620.9677419354839</v>
      </c>
      <c r="M27">
        <v>10725</v>
      </c>
      <c r="N27">
        <v>3</v>
      </c>
      <c r="O27">
        <v>6290.3225806451619</v>
      </c>
      <c r="P27">
        <v>107805.64516129032</v>
      </c>
      <c r="Q27">
        <v>8580</v>
      </c>
      <c r="R27">
        <v>107305.64516129032</v>
      </c>
      <c r="S27">
        <v>98725.645161290318</v>
      </c>
    </row>
    <row r="28" spans="1:19">
      <c r="A28">
        <v>122436</v>
      </c>
      <c r="B28" t="s">
        <v>45</v>
      </c>
      <c r="C28" t="s">
        <v>93</v>
      </c>
      <c r="D28" t="s">
        <v>25</v>
      </c>
      <c r="E28">
        <v>1224140036</v>
      </c>
      <c r="F28">
        <v>65000</v>
      </c>
      <c r="G28">
        <v>26000</v>
      </c>
      <c r="H28">
        <v>6500</v>
      </c>
      <c r="I28">
        <v>3250</v>
      </c>
      <c r="J28">
        <v>12</v>
      </c>
      <c r="K28">
        <v>262.09677419354841</v>
      </c>
      <c r="L28">
        <v>3145.161290322581</v>
      </c>
      <c r="M28">
        <v>10725</v>
      </c>
      <c r="N28">
        <v>3</v>
      </c>
      <c r="O28">
        <v>6290.3225806451619</v>
      </c>
      <c r="P28">
        <v>108329.83870967741</v>
      </c>
      <c r="Q28">
        <v>8580</v>
      </c>
      <c r="R28">
        <v>107829.83870967741</v>
      </c>
      <c r="S28">
        <v>99249.838709677409</v>
      </c>
    </row>
    <row r="29" spans="1:19">
      <c r="A29">
        <v>122437</v>
      </c>
      <c r="B29" t="s">
        <v>46</v>
      </c>
      <c r="C29" t="s">
        <v>94</v>
      </c>
      <c r="D29" t="s">
        <v>25</v>
      </c>
      <c r="E29">
        <v>1224140037</v>
      </c>
      <c r="F29">
        <v>65000</v>
      </c>
      <c r="G29">
        <v>26000</v>
      </c>
      <c r="H29">
        <v>6500</v>
      </c>
      <c r="I29">
        <v>3250</v>
      </c>
      <c r="J29">
        <v>2</v>
      </c>
      <c r="K29">
        <v>262.09677419354841</v>
      </c>
      <c r="L29">
        <v>524.19354838709683</v>
      </c>
      <c r="M29">
        <v>10725</v>
      </c>
      <c r="N29">
        <v>2</v>
      </c>
      <c r="O29">
        <v>4193.5483870967746</v>
      </c>
      <c r="P29">
        <v>107805.64516129032</v>
      </c>
      <c r="Q29">
        <v>8580</v>
      </c>
      <c r="R29">
        <v>107305.64516129032</v>
      </c>
      <c r="S29">
        <v>98725.645161290318</v>
      </c>
    </row>
    <row r="30" spans="1:19">
      <c r="A30">
        <v>122438</v>
      </c>
      <c r="B30" t="s">
        <v>47</v>
      </c>
      <c r="C30" t="s">
        <v>95</v>
      </c>
      <c r="D30" t="s">
        <v>25</v>
      </c>
      <c r="E30">
        <v>1224140038</v>
      </c>
      <c r="F30">
        <v>65000</v>
      </c>
      <c r="G30">
        <v>26000</v>
      </c>
      <c r="H30">
        <v>6500</v>
      </c>
      <c r="I30">
        <v>3250</v>
      </c>
      <c r="J30">
        <v>3</v>
      </c>
      <c r="K30">
        <v>262.09677419354841</v>
      </c>
      <c r="L30">
        <v>786.29032258064524</v>
      </c>
      <c r="M30">
        <v>10725</v>
      </c>
      <c r="N30">
        <v>2</v>
      </c>
      <c r="O30">
        <v>4193.5483870967746</v>
      </c>
      <c r="P30">
        <v>108067.74193548388</v>
      </c>
      <c r="Q30">
        <v>8580</v>
      </c>
      <c r="R30">
        <v>107567.74193548388</v>
      </c>
      <c r="S30">
        <v>98987.741935483878</v>
      </c>
    </row>
    <row r="31" spans="1:19">
      <c r="A31">
        <v>122439</v>
      </c>
      <c r="B31" t="s">
        <v>48</v>
      </c>
      <c r="C31" t="s">
        <v>96</v>
      </c>
      <c r="D31" t="s">
        <v>25</v>
      </c>
      <c r="E31">
        <v>1224140039</v>
      </c>
      <c r="F31">
        <v>65000</v>
      </c>
      <c r="G31">
        <v>26000</v>
      </c>
      <c r="H31">
        <v>6500</v>
      </c>
      <c r="I31">
        <v>3250</v>
      </c>
      <c r="J31">
        <v>3</v>
      </c>
      <c r="K31">
        <v>262.09677419354841</v>
      </c>
      <c r="L31">
        <v>786.29032258064524</v>
      </c>
      <c r="M31">
        <v>10725</v>
      </c>
      <c r="N31">
        <v>2</v>
      </c>
      <c r="O31">
        <v>4193.5483870967746</v>
      </c>
      <c r="P31">
        <v>108067.74193548388</v>
      </c>
      <c r="Q31">
        <v>8580</v>
      </c>
      <c r="R31">
        <v>107567.74193548388</v>
      </c>
      <c r="S31">
        <v>98987.741935483878</v>
      </c>
    </row>
    <row r="32" spans="1:19">
      <c r="A32">
        <v>122440</v>
      </c>
      <c r="B32" t="s">
        <v>49</v>
      </c>
      <c r="C32" t="s">
        <v>97</v>
      </c>
      <c r="D32" t="s">
        <v>25</v>
      </c>
      <c r="E32">
        <v>1224140040</v>
      </c>
      <c r="F32">
        <v>120000</v>
      </c>
      <c r="G32">
        <v>48000</v>
      </c>
      <c r="H32">
        <v>12000</v>
      </c>
      <c r="I32">
        <v>6000</v>
      </c>
      <c r="J32">
        <v>3</v>
      </c>
      <c r="K32">
        <v>483.87096774193549</v>
      </c>
      <c r="L32">
        <v>1451.6129032258063</v>
      </c>
      <c r="M32">
        <v>19800</v>
      </c>
      <c r="N32">
        <v>2</v>
      </c>
      <c r="O32">
        <v>7741.9354838709678</v>
      </c>
      <c r="P32">
        <v>199509.67741935485</v>
      </c>
      <c r="Q32">
        <v>15840</v>
      </c>
      <c r="R32">
        <v>199009.67741935485</v>
      </c>
      <c r="S32">
        <v>183169.67741935485</v>
      </c>
    </row>
    <row r="33" spans="1:19">
      <c r="A33">
        <v>122442</v>
      </c>
      <c r="B33" t="s">
        <v>51</v>
      </c>
      <c r="C33" t="s">
        <v>99</v>
      </c>
      <c r="D33" t="s">
        <v>25</v>
      </c>
      <c r="E33">
        <v>1224140042</v>
      </c>
      <c r="F33">
        <v>56000</v>
      </c>
      <c r="G33">
        <v>22400</v>
      </c>
      <c r="H33">
        <v>5600</v>
      </c>
      <c r="I33">
        <v>2800</v>
      </c>
      <c r="J33">
        <v>3</v>
      </c>
      <c r="K33">
        <v>225.80645161290323</v>
      </c>
      <c r="L33">
        <v>677.41935483870975</v>
      </c>
      <c r="M33">
        <v>9240</v>
      </c>
      <c r="N33">
        <v>2</v>
      </c>
      <c r="O33">
        <v>3612.9032258064517</v>
      </c>
      <c r="P33">
        <v>93104.516129032258</v>
      </c>
      <c r="Q33">
        <v>7392</v>
      </c>
      <c r="R33">
        <v>92604.516129032258</v>
      </c>
      <c r="S33">
        <v>85212.516129032258</v>
      </c>
    </row>
    <row r="34" spans="1:19">
      <c r="A34">
        <v>122443</v>
      </c>
      <c r="B34" t="s">
        <v>50</v>
      </c>
      <c r="C34" t="s">
        <v>100</v>
      </c>
      <c r="D34" t="s">
        <v>25</v>
      </c>
      <c r="E34">
        <v>1224140043</v>
      </c>
      <c r="F34">
        <v>78000</v>
      </c>
      <c r="G34">
        <v>31200</v>
      </c>
      <c r="H34">
        <v>7800</v>
      </c>
      <c r="I34">
        <v>3900</v>
      </c>
      <c r="J34">
        <v>3</v>
      </c>
      <c r="K34">
        <v>314.51612903225805</v>
      </c>
      <c r="L34">
        <v>943.54838709677415</v>
      </c>
      <c r="M34">
        <v>12870</v>
      </c>
      <c r="N34">
        <v>2</v>
      </c>
      <c r="O34">
        <v>5032.2580645161288</v>
      </c>
      <c r="P34">
        <v>129681.29032258067</v>
      </c>
      <c r="Q34">
        <v>10296</v>
      </c>
      <c r="R34">
        <v>129181.29032258067</v>
      </c>
      <c r="S34">
        <v>118885.29032258067</v>
      </c>
    </row>
    <row r="35" spans="1:19">
      <c r="A35">
        <v>122444</v>
      </c>
      <c r="B35" t="s">
        <v>52</v>
      </c>
      <c r="C35" t="s">
        <v>101</v>
      </c>
      <c r="D35" t="s">
        <v>25</v>
      </c>
      <c r="E35">
        <v>1224140044</v>
      </c>
      <c r="F35">
        <v>34000</v>
      </c>
      <c r="G35">
        <v>13600</v>
      </c>
      <c r="H35">
        <v>3400</v>
      </c>
      <c r="I35">
        <v>1700</v>
      </c>
      <c r="J35">
        <v>3</v>
      </c>
      <c r="K35">
        <v>137.09677419354838</v>
      </c>
      <c r="L35">
        <v>411.29032258064512</v>
      </c>
      <c r="M35">
        <v>5610</v>
      </c>
      <c r="N35">
        <v>3</v>
      </c>
      <c r="O35">
        <v>3290.322580645161</v>
      </c>
      <c r="P35">
        <v>55430.967741935485</v>
      </c>
      <c r="Q35">
        <v>4488</v>
      </c>
      <c r="R35">
        <v>54930.967741935485</v>
      </c>
      <c r="S35">
        <v>50442.967741935485</v>
      </c>
    </row>
    <row r="36" spans="1:19">
      <c r="A36">
        <v>122409</v>
      </c>
      <c r="B36" t="s">
        <v>14</v>
      </c>
      <c r="C36" t="s">
        <v>68</v>
      </c>
      <c r="D36" t="s">
        <v>26</v>
      </c>
      <c r="E36">
        <v>1224140009</v>
      </c>
      <c r="F36">
        <v>65000</v>
      </c>
      <c r="G36">
        <v>26000</v>
      </c>
      <c r="H36">
        <v>6500</v>
      </c>
      <c r="I36">
        <v>3250</v>
      </c>
      <c r="J36">
        <v>34</v>
      </c>
      <c r="K36">
        <v>262.09677419354841</v>
      </c>
      <c r="L36">
        <v>8911.2903225806458</v>
      </c>
      <c r="M36">
        <v>10725</v>
      </c>
      <c r="N36">
        <v>2</v>
      </c>
      <c r="O36">
        <v>4193.5483870967746</v>
      </c>
      <c r="P36">
        <v>116192.74193548388</v>
      </c>
      <c r="Q36">
        <v>8580</v>
      </c>
      <c r="R36">
        <v>115692.74193548388</v>
      </c>
      <c r="S36">
        <v>107112.74193548388</v>
      </c>
    </row>
    <row r="37" spans="1:19">
      <c r="A37">
        <v>122410</v>
      </c>
      <c r="B37" t="s">
        <v>15</v>
      </c>
      <c r="C37" t="s">
        <v>69</v>
      </c>
      <c r="D37" t="s">
        <v>26</v>
      </c>
      <c r="E37">
        <v>1224140010</v>
      </c>
      <c r="F37">
        <v>165000</v>
      </c>
      <c r="G37">
        <v>66000</v>
      </c>
      <c r="H37">
        <v>16500</v>
      </c>
      <c r="I37">
        <v>8250</v>
      </c>
      <c r="J37">
        <v>9</v>
      </c>
      <c r="K37">
        <v>665.32258064516134</v>
      </c>
      <c r="L37">
        <v>5987.9032258064517</v>
      </c>
      <c r="M37">
        <v>27225</v>
      </c>
      <c r="N37">
        <v>2</v>
      </c>
      <c r="O37">
        <v>10645.161290322581</v>
      </c>
      <c r="P37">
        <v>278317.74193548382</v>
      </c>
      <c r="Q37">
        <v>21780</v>
      </c>
      <c r="R37">
        <v>277817.74193548382</v>
      </c>
      <c r="S37">
        <v>256037.74193548382</v>
      </c>
    </row>
    <row r="38" spans="1:19">
      <c r="A38">
        <v>122413</v>
      </c>
      <c r="B38" t="s">
        <v>18</v>
      </c>
      <c r="C38" t="s">
        <v>72</v>
      </c>
      <c r="D38" t="s">
        <v>26</v>
      </c>
      <c r="E38">
        <v>1224140013</v>
      </c>
      <c r="F38">
        <v>65000</v>
      </c>
      <c r="G38">
        <v>26000</v>
      </c>
      <c r="H38">
        <v>6500</v>
      </c>
      <c r="I38">
        <v>3250</v>
      </c>
      <c r="J38">
        <v>8</v>
      </c>
      <c r="K38">
        <v>262.09677419354841</v>
      </c>
      <c r="L38">
        <v>2096.7741935483873</v>
      </c>
      <c r="M38">
        <v>10725</v>
      </c>
      <c r="N38">
        <v>2</v>
      </c>
      <c r="O38">
        <v>4193.5483870967746</v>
      </c>
      <c r="P38">
        <v>109378.22580645162</v>
      </c>
      <c r="Q38">
        <v>8580</v>
      </c>
      <c r="R38">
        <v>108878.22580645162</v>
      </c>
      <c r="S38">
        <v>100298.22580645162</v>
      </c>
    </row>
    <row r="39" spans="1:19">
      <c r="A39">
        <v>122419</v>
      </c>
      <c r="B39" t="s">
        <v>28</v>
      </c>
      <c r="C39" t="s">
        <v>78</v>
      </c>
      <c r="D39" t="s">
        <v>26</v>
      </c>
      <c r="E39">
        <v>1224140019</v>
      </c>
      <c r="F39">
        <v>30000</v>
      </c>
      <c r="G39">
        <v>12000</v>
      </c>
      <c r="H39">
        <v>3000</v>
      </c>
      <c r="I39">
        <v>1500</v>
      </c>
      <c r="J39">
        <v>10</v>
      </c>
      <c r="K39">
        <v>120.96774193548387</v>
      </c>
      <c r="L39">
        <v>1209.6774193548388</v>
      </c>
      <c r="M39">
        <v>4950</v>
      </c>
      <c r="N39">
        <v>5</v>
      </c>
      <c r="O39">
        <v>4838.7096774193551</v>
      </c>
      <c r="P39">
        <v>47820.967741935485</v>
      </c>
      <c r="Q39">
        <v>3960</v>
      </c>
      <c r="R39">
        <v>47320.967741935485</v>
      </c>
      <c r="S39">
        <v>43360.967741935485</v>
      </c>
    </row>
    <row r="40" spans="1:19">
      <c r="A40">
        <v>122420</v>
      </c>
      <c r="B40" t="s">
        <v>29</v>
      </c>
      <c r="C40" t="s">
        <v>79</v>
      </c>
      <c r="D40" t="s">
        <v>26</v>
      </c>
      <c r="E40">
        <v>1224140020</v>
      </c>
      <c r="F40">
        <v>40000</v>
      </c>
      <c r="G40">
        <v>16000</v>
      </c>
      <c r="H40">
        <v>4000</v>
      </c>
      <c r="I40">
        <v>2000</v>
      </c>
      <c r="J40">
        <v>11</v>
      </c>
      <c r="K40">
        <v>161.29032258064515</v>
      </c>
      <c r="L40">
        <v>1774.1935483870966</v>
      </c>
      <c r="M40">
        <v>6600</v>
      </c>
      <c r="N40">
        <v>5</v>
      </c>
      <c r="O40">
        <v>6451.6129032258059</v>
      </c>
      <c r="P40">
        <v>63922.580645161288</v>
      </c>
      <c r="Q40">
        <v>5280</v>
      </c>
      <c r="R40">
        <v>63422.580645161288</v>
      </c>
      <c r="S40">
        <v>58142.580645161288</v>
      </c>
    </row>
    <row r="41" spans="1:19">
      <c r="A41">
        <v>122421</v>
      </c>
      <c r="B41" t="s">
        <v>30</v>
      </c>
      <c r="C41" t="s">
        <v>80</v>
      </c>
      <c r="D41" t="s">
        <v>26</v>
      </c>
      <c r="E41">
        <v>1224140021</v>
      </c>
      <c r="F41">
        <v>30000</v>
      </c>
      <c r="G41">
        <v>12000</v>
      </c>
      <c r="H41">
        <v>3000</v>
      </c>
      <c r="I41">
        <v>1500</v>
      </c>
      <c r="J41">
        <v>12</v>
      </c>
      <c r="K41">
        <v>120.96774193548387</v>
      </c>
      <c r="L41">
        <v>1451.6129032258063</v>
      </c>
      <c r="M41">
        <v>4950</v>
      </c>
      <c r="N41">
        <v>5</v>
      </c>
      <c r="O41">
        <v>4838.7096774193551</v>
      </c>
      <c r="P41">
        <v>48062.903225806447</v>
      </c>
      <c r="Q41">
        <v>3960</v>
      </c>
      <c r="R41">
        <v>47562.903225806447</v>
      </c>
      <c r="S41">
        <v>43602.903225806447</v>
      </c>
    </row>
    <row r="42" spans="1:19">
      <c r="A42">
        <v>122422</v>
      </c>
      <c r="B42" t="s">
        <v>31</v>
      </c>
      <c r="C42" t="s">
        <v>72</v>
      </c>
      <c r="D42" t="s">
        <v>26</v>
      </c>
      <c r="E42">
        <v>1224140022</v>
      </c>
      <c r="F42">
        <v>60000</v>
      </c>
      <c r="G42">
        <v>24000</v>
      </c>
      <c r="H42">
        <v>6000</v>
      </c>
      <c r="I42">
        <v>3000</v>
      </c>
      <c r="J42">
        <v>13</v>
      </c>
      <c r="K42">
        <v>241.93548387096774</v>
      </c>
      <c r="L42">
        <v>3145.1612903225805</v>
      </c>
      <c r="M42">
        <v>9900</v>
      </c>
      <c r="N42">
        <v>5</v>
      </c>
      <c r="O42">
        <v>9677.4193548387102</v>
      </c>
      <c r="P42">
        <v>96367.741935483864</v>
      </c>
      <c r="Q42">
        <v>7920</v>
      </c>
      <c r="R42">
        <v>95867.741935483864</v>
      </c>
      <c r="S42">
        <v>87947.741935483864</v>
      </c>
    </row>
    <row r="43" spans="1:19">
      <c r="A43">
        <v>122423</v>
      </c>
      <c r="B43" t="s">
        <v>32</v>
      </c>
      <c r="C43" t="s">
        <v>81</v>
      </c>
      <c r="D43" t="s">
        <v>26</v>
      </c>
      <c r="E43">
        <v>1224140023</v>
      </c>
      <c r="F43">
        <v>25000</v>
      </c>
      <c r="G43">
        <v>10000</v>
      </c>
      <c r="H43">
        <v>2500</v>
      </c>
      <c r="I43">
        <v>1250</v>
      </c>
      <c r="J43">
        <v>14</v>
      </c>
      <c r="K43">
        <v>100.80645161290323</v>
      </c>
      <c r="L43">
        <v>1411.2903225806454</v>
      </c>
      <c r="M43">
        <v>4125</v>
      </c>
      <c r="N43">
        <v>1</v>
      </c>
      <c r="O43">
        <v>806.45161290322585</v>
      </c>
      <c r="P43">
        <v>43479.838709677417</v>
      </c>
      <c r="Q43">
        <v>3300</v>
      </c>
      <c r="R43">
        <v>42979.838709677417</v>
      </c>
      <c r="S43">
        <v>39679.838709677417</v>
      </c>
    </row>
    <row r="44" spans="1:19">
      <c r="A44">
        <v>122424</v>
      </c>
      <c r="B44" t="s">
        <v>33</v>
      </c>
      <c r="C44" t="s">
        <v>82</v>
      </c>
      <c r="D44" t="s">
        <v>26</v>
      </c>
      <c r="E44">
        <v>1224140024</v>
      </c>
      <c r="F44">
        <v>40000</v>
      </c>
      <c r="G44">
        <v>16000</v>
      </c>
      <c r="H44">
        <v>4000</v>
      </c>
      <c r="I44">
        <v>2000</v>
      </c>
      <c r="J44">
        <v>15</v>
      </c>
      <c r="K44">
        <v>161.29032258064515</v>
      </c>
      <c r="L44">
        <v>2419.3548387096771</v>
      </c>
      <c r="M44">
        <v>6600</v>
      </c>
      <c r="N44">
        <v>2</v>
      </c>
      <c r="O44">
        <v>2580.6451612903224</v>
      </c>
      <c r="P44">
        <v>68438.709677419349</v>
      </c>
      <c r="Q44">
        <v>5280</v>
      </c>
      <c r="R44">
        <v>67938.709677419349</v>
      </c>
      <c r="S44">
        <v>62658.709677419349</v>
      </c>
    </row>
    <row r="45" spans="1:19">
      <c r="A45">
        <v>122441</v>
      </c>
      <c r="B45" t="s">
        <v>50</v>
      </c>
      <c r="C45" t="s">
        <v>98</v>
      </c>
      <c r="D45" t="s">
        <v>26</v>
      </c>
      <c r="E45">
        <v>1224140041</v>
      </c>
      <c r="F45">
        <v>35000</v>
      </c>
      <c r="G45">
        <v>14000</v>
      </c>
      <c r="H45">
        <v>3500</v>
      </c>
      <c r="I45">
        <v>1750</v>
      </c>
      <c r="J45">
        <v>3</v>
      </c>
      <c r="K45">
        <v>141.12903225806451</v>
      </c>
      <c r="L45">
        <v>423.38709677419354</v>
      </c>
      <c r="M45">
        <v>5775</v>
      </c>
      <c r="N45">
        <v>2</v>
      </c>
      <c r="O45">
        <v>2258.0645161290322</v>
      </c>
      <c r="P45">
        <v>58190.322580645166</v>
      </c>
      <c r="Q45">
        <v>4620</v>
      </c>
      <c r="R45">
        <v>57690.322580645166</v>
      </c>
      <c r="S45">
        <v>53070.322580645166</v>
      </c>
    </row>
    <row r="46" spans="1:19">
      <c r="A46">
        <v>122445</v>
      </c>
      <c r="B46" t="s">
        <v>53</v>
      </c>
      <c r="C46" t="s">
        <v>102</v>
      </c>
      <c r="D46" t="s">
        <v>26</v>
      </c>
      <c r="E46">
        <v>1224140045</v>
      </c>
      <c r="F46">
        <v>125000</v>
      </c>
      <c r="G46">
        <v>50000</v>
      </c>
      <c r="H46">
        <v>12500</v>
      </c>
      <c r="I46">
        <v>6250</v>
      </c>
      <c r="J46">
        <v>4</v>
      </c>
      <c r="K46">
        <v>504.03225806451616</v>
      </c>
      <c r="L46">
        <v>2016.1290322580646</v>
      </c>
      <c r="M46">
        <v>20625</v>
      </c>
      <c r="N46">
        <v>4</v>
      </c>
      <c r="O46">
        <v>16129.032258064517</v>
      </c>
      <c r="P46">
        <v>200262.09677419355</v>
      </c>
      <c r="Q46">
        <v>16500</v>
      </c>
      <c r="R46">
        <v>199762.09677419355</v>
      </c>
      <c r="S46">
        <v>183262.09677419355</v>
      </c>
    </row>
    <row r="47" spans="1:19">
      <c r="A47">
        <v>122446</v>
      </c>
      <c r="B47" t="s">
        <v>54</v>
      </c>
      <c r="C47" t="s">
        <v>103</v>
      </c>
      <c r="D47" t="s">
        <v>26</v>
      </c>
      <c r="E47">
        <v>1224140046</v>
      </c>
      <c r="F47">
        <v>230000</v>
      </c>
      <c r="G47">
        <v>92000</v>
      </c>
      <c r="H47">
        <v>23000</v>
      </c>
      <c r="I47">
        <v>11500</v>
      </c>
      <c r="J47">
        <v>4</v>
      </c>
      <c r="K47">
        <v>927.41935483870964</v>
      </c>
      <c r="L47">
        <v>3709.6774193548385</v>
      </c>
      <c r="M47">
        <v>37950</v>
      </c>
      <c r="N47">
        <v>5</v>
      </c>
      <c r="O47">
        <v>37096.774193548386</v>
      </c>
      <c r="P47">
        <v>361062.90322580648</v>
      </c>
      <c r="Q47">
        <v>30360</v>
      </c>
      <c r="R47">
        <v>360562.90322580648</v>
      </c>
      <c r="S47">
        <v>330202.90322580648</v>
      </c>
    </row>
    <row r="48" spans="1:19">
      <c r="A48">
        <v>122447</v>
      </c>
      <c r="B48" t="s">
        <v>55</v>
      </c>
      <c r="C48" t="s">
        <v>104</v>
      </c>
      <c r="D48" t="s">
        <v>26</v>
      </c>
      <c r="E48">
        <v>1224140047</v>
      </c>
      <c r="F48">
        <v>56000</v>
      </c>
      <c r="G48">
        <v>22400</v>
      </c>
      <c r="H48">
        <v>5600</v>
      </c>
      <c r="I48">
        <v>2800</v>
      </c>
      <c r="J48">
        <v>4</v>
      </c>
      <c r="K48">
        <v>225.80645161290323</v>
      </c>
      <c r="L48">
        <v>903.22580645161293</v>
      </c>
      <c r="M48">
        <v>9240</v>
      </c>
      <c r="N48">
        <v>6</v>
      </c>
      <c r="O48">
        <v>10838.709677419356</v>
      </c>
      <c r="P48">
        <v>86104.516129032243</v>
      </c>
      <c r="Q48">
        <v>7392</v>
      </c>
      <c r="R48">
        <v>85604.516129032243</v>
      </c>
      <c r="S48">
        <v>78212.516129032243</v>
      </c>
    </row>
    <row r="49" spans="1:19">
      <c r="A49">
        <v>122448</v>
      </c>
      <c r="B49" t="s">
        <v>56</v>
      </c>
      <c r="C49" t="s">
        <v>105</v>
      </c>
      <c r="D49" t="s">
        <v>26</v>
      </c>
      <c r="E49">
        <v>1224140048</v>
      </c>
      <c r="F49">
        <v>80000</v>
      </c>
      <c r="G49">
        <v>32000</v>
      </c>
      <c r="H49">
        <v>8000</v>
      </c>
      <c r="I49">
        <v>4000</v>
      </c>
      <c r="J49">
        <v>4</v>
      </c>
      <c r="K49">
        <v>322.58064516129031</v>
      </c>
      <c r="L49">
        <v>1290.3225806451612</v>
      </c>
      <c r="M49">
        <v>13200</v>
      </c>
      <c r="N49">
        <v>3</v>
      </c>
      <c r="O49">
        <v>7741.9354838709678</v>
      </c>
      <c r="P49">
        <v>130748.38709677418</v>
      </c>
      <c r="Q49">
        <v>10560</v>
      </c>
      <c r="R49">
        <v>130248.38709677418</v>
      </c>
      <c r="S49">
        <v>119688.38709677418</v>
      </c>
    </row>
    <row r="50" spans="1:19">
      <c r="A50">
        <v>122449</v>
      </c>
      <c r="B50" t="s">
        <v>57</v>
      </c>
      <c r="C50" t="s">
        <v>106</v>
      </c>
      <c r="D50" t="s">
        <v>26</v>
      </c>
      <c r="E50">
        <v>1224140049</v>
      </c>
      <c r="F50">
        <v>56000</v>
      </c>
      <c r="G50">
        <v>22400</v>
      </c>
      <c r="H50">
        <v>5600</v>
      </c>
      <c r="I50">
        <v>2800</v>
      </c>
      <c r="J50">
        <v>4</v>
      </c>
      <c r="K50">
        <v>225.80645161290323</v>
      </c>
      <c r="L50">
        <v>903.22580645161293</v>
      </c>
      <c r="M50">
        <v>9240</v>
      </c>
      <c r="N50">
        <v>2</v>
      </c>
      <c r="O50">
        <v>3612.9032258064517</v>
      </c>
      <c r="P50">
        <v>93330.322580645152</v>
      </c>
      <c r="Q50">
        <v>7392</v>
      </c>
      <c r="R50">
        <v>92830.322580645152</v>
      </c>
      <c r="S50">
        <v>85438.322580645152</v>
      </c>
    </row>
    <row r="51" spans="1:19">
      <c r="A51">
        <v>122450</v>
      </c>
      <c r="B51" t="s">
        <v>58</v>
      </c>
      <c r="C51" t="s">
        <v>107</v>
      </c>
      <c r="D51" t="s">
        <v>26</v>
      </c>
      <c r="E51">
        <v>1224140050</v>
      </c>
      <c r="F51">
        <v>45000</v>
      </c>
      <c r="G51">
        <v>18000</v>
      </c>
      <c r="H51">
        <v>4500</v>
      </c>
      <c r="I51">
        <v>2250</v>
      </c>
      <c r="J51">
        <v>4</v>
      </c>
      <c r="K51">
        <v>181.45161290322579</v>
      </c>
      <c r="L51">
        <v>725.80645161290317</v>
      </c>
      <c r="M51">
        <v>7425</v>
      </c>
      <c r="N51">
        <v>9</v>
      </c>
      <c r="O51">
        <v>13064.516129032258</v>
      </c>
      <c r="P51">
        <v>64836.290322580651</v>
      </c>
      <c r="Q51">
        <v>5940</v>
      </c>
      <c r="R51">
        <v>64336.290322580651</v>
      </c>
      <c r="S51">
        <v>58396.290322580651</v>
      </c>
    </row>
    <row r="52" spans="1:19">
      <c r="A52">
        <v>122451</v>
      </c>
      <c r="B52" t="s">
        <v>59</v>
      </c>
      <c r="C52" t="s">
        <v>108</v>
      </c>
      <c r="D52" t="s">
        <v>26</v>
      </c>
      <c r="E52">
        <v>1224140051</v>
      </c>
      <c r="F52">
        <v>34000</v>
      </c>
      <c r="G52">
        <v>13600</v>
      </c>
      <c r="H52">
        <v>3400</v>
      </c>
      <c r="I52">
        <v>1700</v>
      </c>
      <c r="J52">
        <v>4</v>
      </c>
      <c r="K52">
        <v>137.09677419354838</v>
      </c>
      <c r="L52">
        <v>548.38709677419354</v>
      </c>
      <c r="M52">
        <v>5610</v>
      </c>
      <c r="N52">
        <v>1</v>
      </c>
      <c r="O52">
        <v>1096.7741935483871</v>
      </c>
      <c r="P52">
        <v>57761.61290322581</v>
      </c>
      <c r="Q52">
        <v>4488</v>
      </c>
      <c r="R52">
        <v>57261.61290322581</v>
      </c>
      <c r="S52">
        <v>52773.61290322581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A1:P86"/>
  <sheetViews>
    <sheetView showGridLines="0" tabSelected="1" topLeftCell="A16" zoomScale="40" zoomScaleNormal="40" workbookViewId="0">
      <selection activeCell="J83" sqref="J83"/>
    </sheetView>
  </sheetViews>
  <sheetFormatPr defaultRowHeight="15"/>
  <cols>
    <col min="1" max="1" width="24.85546875" customWidth="1"/>
    <col min="2" max="2" width="103.42578125" customWidth="1"/>
    <col min="3" max="3" width="28.42578125" customWidth="1"/>
    <col min="4" max="4" width="23.7109375" customWidth="1"/>
    <col min="5" max="5" width="30.85546875" customWidth="1"/>
    <col min="6" max="6" width="21.28515625" customWidth="1"/>
    <col min="7" max="7" width="24.140625" customWidth="1"/>
    <col min="8" max="8" width="32" customWidth="1"/>
    <col min="9" max="9" width="33" customWidth="1"/>
    <col min="10" max="10" width="32.7109375" customWidth="1"/>
    <col min="11" max="11" width="22.7109375" customWidth="1"/>
    <col min="12" max="12" width="30.85546875" customWidth="1"/>
    <col min="13" max="25" width="37.7109375" bestFit="1" customWidth="1"/>
    <col min="26" max="26" width="37.7109375" customWidth="1"/>
    <col min="27" max="369" width="37.7109375" bestFit="1" customWidth="1"/>
    <col min="370" max="370" width="26.85546875" bestFit="1" customWidth="1"/>
    <col min="371" max="371" width="21.5703125" bestFit="1" customWidth="1"/>
    <col min="372" max="372" width="26.7109375" bestFit="1" customWidth="1"/>
    <col min="373" max="373" width="21.7109375" bestFit="1" customWidth="1"/>
    <col min="374" max="374" width="22" bestFit="1" customWidth="1"/>
    <col min="375" max="375" width="32.85546875" bestFit="1" customWidth="1"/>
    <col min="376" max="376" width="23.85546875" bestFit="1" customWidth="1"/>
    <col min="377" max="377" width="30.5703125" bestFit="1" customWidth="1"/>
  </cols>
  <sheetData>
    <row r="1" spans="1:16" s="33" customFormat="1" ht="15" customHeight="1">
      <c r="A1" s="113" t="s">
        <v>134</v>
      </c>
      <c r="B1" s="113"/>
      <c r="C1" s="113"/>
      <c r="D1" s="113"/>
      <c r="E1" s="113"/>
      <c r="F1" s="113"/>
      <c r="G1" s="113"/>
      <c r="H1" s="113"/>
      <c r="I1" s="113"/>
      <c r="J1" s="113"/>
      <c r="K1" s="37"/>
      <c r="L1" s="37"/>
      <c r="M1" s="37"/>
    </row>
    <row r="2" spans="1:16" s="33" customFormat="1" ht="21.75" customHeight="1" thickBo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37"/>
      <c r="L2" s="37"/>
      <c r="M2" s="37"/>
    </row>
    <row r="3" spans="1:16" s="34" customFormat="1" ht="15" customHeight="1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37"/>
      <c r="L3" s="37"/>
      <c r="M3" s="37"/>
    </row>
    <row r="4" spans="1:16" s="34" customFormat="1" ht="15" customHeight="1">
      <c r="A4" s="115" t="s">
        <v>147</v>
      </c>
      <c r="B4" s="116"/>
      <c r="C4" s="116"/>
      <c r="D4" s="116"/>
      <c r="E4" s="116"/>
      <c r="F4" s="116"/>
      <c r="G4" s="116"/>
      <c r="H4" s="116"/>
      <c r="I4" s="116"/>
      <c r="J4" s="117"/>
      <c r="K4" s="37"/>
      <c r="L4" s="37"/>
      <c r="M4" s="37"/>
    </row>
    <row r="5" spans="1:16" s="33" customFormat="1" ht="16.5" customHeight="1">
      <c r="A5" s="118"/>
      <c r="B5" s="119"/>
      <c r="C5" s="119"/>
      <c r="D5" s="119"/>
      <c r="E5" s="119"/>
      <c r="F5" s="119"/>
      <c r="G5" s="119"/>
      <c r="H5" s="119"/>
      <c r="I5" s="119"/>
      <c r="J5" s="120"/>
      <c r="K5" s="37"/>
      <c r="L5" s="37"/>
      <c r="M5" s="37"/>
    </row>
    <row r="6" spans="1:16" s="34" customFormat="1" ht="16.5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37"/>
      <c r="L6" s="37"/>
      <c r="M6" s="37"/>
    </row>
    <row r="7" spans="1:16" s="36" customFormat="1" ht="17.25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</row>
    <row r="8" spans="1:16" s="33" customFormat="1" ht="18.75" customHeight="1">
      <c r="A8" s="111" t="s">
        <v>135</v>
      </c>
      <c r="B8" s="112"/>
      <c r="C8" s="38"/>
      <c r="D8" s="81" t="s">
        <v>150</v>
      </c>
      <c r="E8" s="82" t="s">
        <v>153</v>
      </c>
      <c r="F8" s="83" t="s">
        <v>154</v>
      </c>
      <c r="G8" s="81" t="s">
        <v>142</v>
      </c>
      <c r="H8" s="84" t="s">
        <v>149</v>
      </c>
      <c r="I8" s="84" t="s">
        <v>143</v>
      </c>
      <c r="J8" s="38"/>
      <c r="K8" s="38"/>
      <c r="L8" s="38"/>
      <c r="M8" s="38"/>
    </row>
    <row r="9" spans="1:16" ht="21" thickBot="1">
      <c r="A9" s="61" t="s">
        <v>110</v>
      </c>
      <c r="B9" s="61" t="s">
        <v>124</v>
      </c>
      <c r="D9" s="76">
        <v>109321</v>
      </c>
      <c r="E9" s="77">
        <v>557535645</v>
      </c>
      <c r="F9" s="78" t="s">
        <v>155</v>
      </c>
      <c r="G9" s="76">
        <v>614625</v>
      </c>
      <c r="H9" s="79" t="s">
        <v>144</v>
      </c>
      <c r="I9" s="80">
        <v>51</v>
      </c>
    </row>
    <row r="10" spans="1:16" ht="18.75">
      <c r="A10" s="50" t="s">
        <v>120</v>
      </c>
      <c r="B10" s="50" t="s">
        <v>124</v>
      </c>
      <c r="E10" s="68"/>
      <c r="F10" s="69"/>
    </row>
    <row r="11" spans="1:16" ht="18.75">
      <c r="A11" s="62" t="s">
        <v>3</v>
      </c>
      <c r="B11" s="62" t="s">
        <v>124</v>
      </c>
      <c r="C11" s="67"/>
      <c r="E11" s="68"/>
      <c r="F11" s="69"/>
    </row>
    <row r="12" spans="1:16">
      <c r="E12" s="34"/>
    </row>
    <row r="13" spans="1:16" s="39" customFormat="1" ht="21">
      <c r="A13" s="54"/>
      <c r="B13" s="57" t="s">
        <v>148</v>
      </c>
      <c r="C13" s="43"/>
      <c r="D13" s="44"/>
      <c r="E13" s="44"/>
      <c r="F13" s="44"/>
      <c r="G13" s="44"/>
      <c r="H13" s="44"/>
      <c r="I13" s="44"/>
      <c r="J13" s="44"/>
      <c r="K13" s="44"/>
      <c r="L13" s="45"/>
    </row>
    <row r="14" spans="1:16" s="40" customFormat="1" ht="18.75">
      <c r="A14" s="63" t="s">
        <v>109</v>
      </c>
      <c r="B14" s="65" t="s">
        <v>123</v>
      </c>
      <c r="C14" s="64" t="s">
        <v>151</v>
      </c>
      <c r="D14" s="65" t="s">
        <v>131</v>
      </c>
      <c r="E14" s="65" t="s">
        <v>121</v>
      </c>
      <c r="F14" s="65" t="s">
        <v>129</v>
      </c>
      <c r="G14" s="65" t="s">
        <v>126</v>
      </c>
      <c r="H14" s="64" t="s">
        <v>152</v>
      </c>
      <c r="I14" s="66" t="s">
        <v>128</v>
      </c>
      <c r="J14" s="65" t="s">
        <v>127</v>
      </c>
      <c r="K14" s="65" t="s">
        <v>125</v>
      </c>
      <c r="L14" s="65" t="s">
        <v>132</v>
      </c>
      <c r="M14" s="39"/>
      <c r="N14" s="39"/>
      <c r="O14" s="39"/>
      <c r="P14" s="39"/>
    </row>
    <row r="15" spans="1:16" ht="18.75">
      <c r="A15" s="60" t="s">
        <v>24</v>
      </c>
      <c r="B15" s="58">
        <v>2156312.6774193547</v>
      </c>
      <c r="C15" s="73">
        <v>1441000</v>
      </c>
      <c r="D15" s="59">
        <v>70</v>
      </c>
      <c r="E15" s="58">
        <v>237765</v>
      </c>
      <c r="F15" s="58">
        <v>190212</v>
      </c>
      <c r="G15" s="58">
        <v>144100</v>
      </c>
      <c r="H15" s="72">
        <v>187</v>
      </c>
      <c r="I15" s="58">
        <v>73887.09677419356</v>
      </c>
      <c r="J15" s="58">
        <v>72050</v>
      </c>
      <c r="K15" s="58">
        <v>576400</v>
      </c>
      <c r="L15" s="58">
        <v>9000</v>
      </c>
    </row>
    <row r="16" spans="1:16" ht="18.75">
      <c r="A16" s="46" t="s">
        <v>25</v>
      </c>
      <c r="B16" s="51">
        <v>1659157.8709677418</v>
      </c>
      <c r="C16" s="74">
        <v>1103000</v>
      </c>
      <c r="D16" s="49">
        <v>55</v>
      </c>
      <c r="E16" s="51">
        <v>181995</v>
      </c>
      <c r="F16" s="51">
        <v>145596</v>
      </c>
      <c r="G16" s="51">
        <v>110300</v>
      </c>
      <c r="H16" s="75">
        <v>142</v>
      </c>
      <c r="I16" s="51">
        <v>37205.645161290326</v>
      </c>
      <c r="J16" s="51">
        <v>55150</v>
      </c>
      <c r="K16" s="51">
        <v>441200</v>
      </c>
      <c r="L16" s="51">
        <v>8000</v>
      </c>
    </row>
    <row r="17" spans="1:12" ht="18.75">
      <c r="A17" s="56" t="s">
        <v>26</v>
      </c>
      <c r="B17" s="52">
        <v>1759885.9032258065</v>
      </c>
      <c r="C17" s="70">
        <v>1181000</v>
      </c>
      <c r="D17" s="47">
        <v>61</v>
      </c>
      <c r="E17" s="52">
        <v>194865</v>
      </c>
      <c r="F17" s="52">
        <v>155892</v>
      </c>
      <c r="G17" s="52">
        <v>118100</v>
      </c>
      <c r="H17" s="71">
        <v>157</v>
      </c>
      <c r="I17" s="52">
        <v>38927.419354838705</v>
      </c>
      <c r="J17" s="52">
        <v>59050</v>
      </c>
      <c r="K17" s="52">
        <v>472400</v>
      </c>
      <c r="L17" s="52">
        <v>8500</v>
      </c>
    </row>
    <row r="18" spans="1:12" ht="18.75">
      <c r="A18" s="55" t="s">
        <v>130</v>
      </c>
      <c r="B18" s="52">
        <v>5575356.4516129028</v>
      </c>
      <c r="C18" s="70">
        <v>3725000</v>
      </c>
      <c r="D18" s="47">
        <v>186</v>
      </c>
      <c r="E18" s="52">
        <v>614625</v>
      </c>
      <c r="F18" s="52">
        <v>491700</v>
      </c>
      <c r="G18" s="52">
        <v>372500</v>
      </c>
      <c r="H18" s="71">
        <v>486</v>
      </c>
      <c r="I18" s="52">
        <v>150020.16129032258</v>
      </c>
      <c r="J18" s="52">
        <v>186250</v>
      </c>
      <c r="K18" s="52">
        <v>1490000</v>
      </c>
      <c r="L18" s="52">
        <v>25500</v>
      </c>
    </row>
    <row r="42" spans="2:2">
      <c r="B42" s="33" t="s">
        <v>133</v>
      </c>
    </row>
    <row r="43" spans="2:2">
      <c r="B43" s="33"/>
    </row>
    <row r="44" spans="2:2" s="53" customFormat="1"/>
    <row r="45" spans="2:2" s="53" customFormat="1"/>
    <row r="46" spans="2:2" s="53" customFormat="1" ht="15" customHeight="1"/>
    <row r="47" spans="2:2">
      <c r="B47" s="33"/>
    </row>
    <row r="48" spans="2:2" s="53" customFormat="1"/>
    <row r="49" spans="1:6" s="53" customFormat="1"/>
    <row r="50" spans="1:6" s="53" customFormat="1"/>
    <row r="51" spans="1:6" s="53" customFormat="1"/>
    <row r="52" spans="1:6" s="53" customFormat="1"/>
    <row r="53" spans="1:6" s="53" customFormat="1"/>
    <row r="54" spans="1:6" s="53" customFormat="1"/>
    <row r="55" spans="1:6" s="53" customFormat="1"/>
    <row r="57" spans="1:6" ht="23.25">
      <c r="A57" s="108"/>
      <c r="B57" s="109"/>
      <c r="C57" s="109"/>
      <c r="D57" s="109"/>
      <c r="E57" s="109"/>
      <c r="F57" s="110"/>
    </row>
    <row r="58" spans="1:6" ht="24" customHeight="1">
      <c r="A58" s="105"/>
      <c r="B58" s="106"/>
      <c r="C58" s="106"/>
      <c r="D58" s="106"/>
      <c r="E58" s="106"/>
      <c r="F58" s="107"/>
    </row>
    <row r="59" spans="1:6" ht="21" customHeight="1">
      <c r="A59" s="105"/>
      <c r="B59" s="106"/>
      <c r="C59" s="106"/>
      <c r="D59" s="106"/>
      <c r="E59" s="106"/>
      <c r="F59" s="107"/>
    </row>
    <row r="60" spans="1:6" ht="23.25">
      <c r="A60" s="122"/>
      <c r="B60" s="123"/>
      <c r="C60" s="123"/>
      <c r="D60" s="123"/>
      <c r="E60" s="123"/>
      <c r="F60" s="124"/>
    </row>
    <row r="61" spans="1:6" ht="23.25">
      <c r="A61" s="102"/>
      <c r="B61" s="103"/>
      <c r="C61" s="103"/>
      <c r="D61" s="103"/>
      <c r="E61" s="103"/>
      <c r="F61" s="104"/>
    </row>
    <row r="82" spans="1:7" ht="26.25">
      <c r="A82" s="90" t="s">
        <v>141</v>
      </c>
      <c r="B82" s="91"/>
      <c r="C82" s="91"/>
      <c r="D82" s="91"/>
      <c r="E82" s="91"/>
      <c r="F82" s="92"/>
      <c r="G82" s="87"/>
    </row>
    <row r="83" spans="1:7" ht="26.25">
      <c r="A83" s="93" t="s">
        <v>140</v>
      </c>
      <c r="B83" s="94"/>
      <c r="C83" s="94"/>
      <c r="D83" s="94"/>
      <c r="E83" s="94"/>
      <c r="F83" s="95"/>
      <c r="G83" s="87"/>
    </row>
    <row r="84" spans="1:7" ht="26.25">
      <c r="A84" s="93" t="s">
        <v>145</v>
      </c>
      <c r="B84" s="94"/>
      <c r="C84" s="94"/>
      <c r="D84" s="94"/>
      <c r="E84" s="94"/>
      <c r="F84" s="95"/>
      <c r="G84" s="87"/>
    </row>
    <row r="85" spans="1:7" ht="26.25">
      <c r="A85" s="96" t="s">
        <v>146</v>
      </c>
      <c r="B85" s="97"/>
      <c r="C85" s="97"/>
      <c r="D85" s="97"/>
      <c r="E85" s="97"/>
      <c r="F85" s="98"/>
      <c r="G85" s="87"/>
    </row>
    <row r="86" spans="1:7" ht="26.25">
      <c r="A86" s="99" t="s">
        <v>158</v>
      </c>
      <c r="B86" s="100"/>
      <c r="C86" s="100"/>
      <c r="D86" s="100"/>
      <c r="E86" s="100"/>
      <c r="F86" s="101"/>
      <c r="G86" s="87"/>
    </row>
  </sheetData>
  <mergeCells count="14">
    <mergeCell ref="A61:F61"/>
    <mergeCell ref="A59:F59"/>
    <mergeCell ref="A57:F57"/>
    <mergeCell ref="A8:B8"/>
    <mergeCell ref="A1:J2"/>
    <mergeCell ref="A4:J5"/>
    <mergeCell ref="A3:J3"/>
    <mergeCell ref="A58:F58"/>
    <mergeCell ref="A60:F60"/>
    <mergeCell ref="A82:F82"/>
    <mergeCell ref="A83:F83"/>
    <mergeCell ref="A84:F84"/>
    <mergeCell ref="A85:F85"/>
    <mergeCell ref="A86:F86"/>
  </mergeCells>
  <pageMargins left="0.7" right="0.7" top="0.75" bottom="0.75" header="0.3" footer="0.3"/>
  <pageSetup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1:AK185"/>
  <sheetViews>
    <sheetView zoomScale="55" zoomScaleNormal="55" workbookViewId="0">
      <selection activeCell="V12" sqref="V12"/>
    </sheetView>
  </sheetViews>
  <sheetFormatPr defaultRowHeight="15"/>
  <cols>
    <col min="1" max="1" width="13" customWidth="1"/>
    <col min="2" max="2" width="13.28515625" customWidth="1"/>
    <col min="3" max="3" width="16.28515625" style="5" bestFit="1" customWidth="1"/>
    <col min="4" max="5" width="16.28515625" style="5" customWidth="1"/>
    <col min="6" max="6" width="18" style="7" customWidth="1"/>
    <col min="7" max="7" width="15.7109375" customWidth="1"/>
    <col min="8" max="8" width="17.140625" customWidth="1"/>
    <col min="9" max="9" width="17.5703125" customWidth="1"/>
    <col min="10" max="10" width="13.28515625" customWidth="1"/>
    <col min="11" max="11" width="16.5703125" style="7" customWidth="1"/>
    <col min="12" max="12" width="16.7109375" customWidth="1"/>
    <col min="13" max="13" width="15.85546875" customWidth="1"/>
    <col min="14" max="14" width="15.5703125" style="9" customWidth="1"/>
    <col min="15" max="15" width="17" style="10" customWidth="1"/>
    <col min="16" max="16" width="16" customWidth="1"/>
    <col min="17" max="17" width="15" style="7" customWidth="1"/>
    <col min="18" max="18" width="19.42578125" style="7" customWidth="1"/>
    <col min="19" max="19" width="24.85546875" style="18" customWidth="1"/>
  </cols>
  <sheetData>
    <row r="1" spans="1:37" ht="15" customHeight="1">
      <c r="A1" s="127" t="s">
        <v>156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9"/>
    </row>
    <row r="2" spans="1:37" ht="15" customHeight="1">
      <c r="A2" s="130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2"/>
    </row>
    <row r="3" spans="1:37" ht="15" customHeight="1" thickBot="1">
      <c r="A3" s="133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5"/>
    </row>
    <row r="4" spans="1:37" s="53" customFormat="1" ht="15" customHeight="1" thickBot="1">
      <c r="A4" s="88"/>
      <c r="B4" s="88"/>
      <c r="C4" s="88"/>
      <c r="D4" s="88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89"/>
    </row>
    <row r="5" spans="1:37" ht="15" customHeight="1">
      <c r="A5" s="136" t="s">
        <v>157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8"/>
    </row>
    <row r="6" spans="1:37" ht="15" customHeight="1" thickBot="1">
      <c r="A6" s="139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1"/>
    </row>
    <row r="7" spans="1:37" ht="15" customHeight="1">
      <c r="A7" s="85"/>
      <c r="B7" s="86"/>
      <c r="C7" s="86"/>
      <c r="D7" s="86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6"/>
    </row>
    <row r="8" spans="1:37" s="31" customFormat="1" ht="59.25" customHeight="1">
      <c r="A8" s="27" t="s">
        <v>110</v>
      </c>
      <c r="B8" s="27" t="s">
        <v>3</v>
      </c>
      <c r="C8" s="27" t="s">
        <v>4</v>
      </c>
      <c r="D8" s="27" t="s">
        <v>109</v>
      </c>
      <c r="E8" s="27" t="s">
        <v>120</v>
      </c>
      <c r="F8" s="28" t="s">
        <v>5</v>
      </c>
      <c r="G8" s="27" t="s">
        <v>112</v>
      </c>
      <c r="H8" s="27" t="s">
        <v>113</v>
      </c>
      <c r="I8" s="27" t="s">
        <v>114</v>
      </c>
      <c r="J8" s="27" t="s">
        <v>0</v>
      </c>
      <c r="K8" s="28" t="s">
        <v>115</v>
      </c>
      <c r="L8" s="27" t="s">
        <v>1</v>
      </c>
      <c r="M8" s="27" t="s">
        <v>116</v>
      </c>
      <c r="N8" s="29" t="s">
        <v>111</v>
      </c>
      <c r="O8" s="30" t="s">
        <v>117</v>
      </c>
      <c r="P8" s="27" t="s">
        <v>2</v>
      </c>
      <c r="Q8" s="28" t="s">
        <v>23</v>
      </c>
      <c r="R8" s="28" t="s">
        <v>119</v>
      </c>
      <c r="S8" s="28" t="s">
        <v>118</v>
      </c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ht="18.75">
      <c r="A9" s="1">
        <v>122401</v>
      </c>
      <c r="B9" s="1" t="s">
        <v>6</v>
      </c>
      <c r="C9" s="12" t="s">
        <v>60</v>
      </c>
      <c r="D9" s="12" t="s">
        <v>25</v>
      </c>
      <c r="E9" s="12">
        <v>1224140001</v>
      </c>
      <c r="F9" s="6">
        <v>150000</v>
      </c>
      <c r="G9" s="6">
        <f t="shared" ref="G9:G40" si="0">F9*40/100</f>
        <v>60000</v>
      </c>
      <c r="H9" s="6">
        <f t="shared" ref="H9:H40" si="1">F9*10/100</f>
        <v>15000</v>
      </c>
      <c r="I9" s="6">
        <f t="shared" ref="I9:I40" si="2">F9*5/100</f>
        <v>7500</v>
      </c>
      <c r="J9" s="2">
        <v>4</v>
      </c>
      <c r="K9" s="6">
        <f t="shared" ref="K9:K40" si="3">F9/248</f>
        <v>604.83870967741939</v>
      </c>
      <c r="L9" s="3">
        <f t="shared" ref="L9:L40" si="4">K9*J9</f>
        <v>2419.3548387096776</v>
      </c>
      <c r="M9" s="3">
        <f t="shared" ref="M9:M40" si="5">(F9+H9)*15/100</f>
        <v>24750</v>
      </c>
      <c r="N9" s="8">
        <v>3</v>
      </c>
      <c r="O9" s="11">
        <f t="shared" ref="O9:O40" si="6">(F9/31)*N9</f>
        <v>14516.129032258064</v>
      </c>
      <c r="P9" s="3">
        <f t="shared" ref="P9:P40" si="7">(F9+G9+H9+I9+L9+M9)-O9</f>
        <v>245153.22580645161</v>
      </c>
      <c r="Q9" s="17">
        <f t="shared" ref="Q9:Q40" si="8">(F9+H9)*12/100</f>
        <v>19800</v>
      </c>
      <c r="R9" s="17">
        <v>500</v>
      </c>
      <c r="S9" s="26">
        <f t="shared" ref="S9:S40" si="9">P9-Q9-R9</f>
        <v>224853.22580645161</v>
      </c>
    </row>
    <row r="10" spans="1:37" ht="18.75">
      <c r="A10" s="1">
        <v>122402</v>
      </c>
      <c r="B10" s="1" t="s">
        <v>12</v>
      </c>
      <c r="C10" s="12" t="s">
        <v>61</v>
      </c>
      <c r="D10" s="12" t="s">
        <v>24</v>
      </c>
      <c r="E10" s="12">
        <v>1224140002</v>
      </c>
      <c r="F10" s="6">
        <v>20000</v>
      </c>
      <c r="G10" s="6">
        <f t="shared" si="0"/>
        <v>8000</v>
      </c>
      <c r="H10" s="6">
        <f t="shared" si="1"/>
        <v>2000</v>
      </c>
      <c r="I10" s="6">
        <f t="shared" si="2"/>
        <v>1000</v>
      </c>
      <c r="J10" s="2">
        <v>9</v>
      </c>
      <c r="K10" s="6">
        <f t="shared" si="3"/>
        <v>80.645161290322577</v>
      </c>
      <c r="L10" s="3">
        <f t="shared" si="4"/>
        <v>725.80645161290317</v>
      </c>
      <c r="M10" s="3">
        <f t="shared" si="5"/>
        <v>3300</v>
      </c>
      <c r="N10" s="8">
        <v>4</v>
      </c>
      <c r="O10" s="11">
        <f t="shared" si="6"/>
        <v>2580.6451612903224</v>
      </c>
      <c r="P10" s="3">
        <f t="shared" si="7"/>
        <v>32445.16129032258</v>
      </c>
      <c r="Q10" s="17">
        <f t="shared" si="8"/>
        <v>2640</v>
      </c>
      <c r="R10" s="17">
        <v>500</v>
      </c>
      <c r="S10" s="26">
        <f t="shared" si="9"/>
        <v>29305.16129032258</v>
      </c>
    </row>
    <row r="11" spans="1:37" ht="18.75">
      <c r="A11" s="1">
        <v>122403</v>
      </c>
      <c r="B11" s="1" t="s">
        <v>7</v>
      </c>
      <c r="C11" s="12" t="s">
        <v>62</v>
      </c>
      <c r="D11" s="12" t="s">
        <v>24</v>
      </c>
      <c r="E11" s="12">
        <v>1224140003</v>
      </c>
      <c r="F11" s="6">
        <v>176000</v>
      </c>
      <c r="G11" s="6">
        <f t="shared" si="0"/>
        <v>70400</v>
      </c>
      <c r="H11" s="6">
        <f t="shared" si="1"/>
        <v>17600</v>
      </c>
      <c r="I11" s="6">
        <f t="shared" si="2"/>
        <v>8800</v>
      </c>
      <c r="J11" s="2">
        <v>20</v>
      </c>
      <c r="K11" s="6">
        <f t="shared" si="3"/>
        <v>709.67741935483866</v>
      </c>
      <c r="L11" s="3">
        <f t="shared" si="4"/>
        <v>14193.548387096773</v>
      </c>
      <c r="M11" s="3">
        <f t="shared" si="5"/>
        <v>29040</v>
      </c>
      <c r="N11" s="8">
        <v>5</v>
      </c>
      <c r="O11" s="11">
        <f t="shared" si="6"/>
        <v>28387.096774193546</v>
      </c>
      <c r="P11" s="3">
        <f t="shared" si="7"/>
        <v>287646.45161290327</v>
      </c>
      <c r="Q11" s="17">
        <f t="shared" si="8"/>
        <v>23232</v>
      </c>
      <c r="R11" s="17">
        <v>500</v>
      </c>
      <c r="S11" s="26">
        <f t="shared" si="9"/>
        <v>263914.45161290327</v>
      </c>
    </row>
    <row r="12" spans="1:37" ht="18.75">
      <c r="A12" s="1">
        <v>122404</v>
      </c>
      <c r="B12" s="1" t="s">
        <v>10</v>
      </c>
      <c r="C12" s="12" t="s">
        <v>63</v>
      </c>
      <c r="D12" s="12" t="s">
        <v>24</v>
      </c>
      <c r="E12" s="12">
        <v>1224140004</v>
      </c>
      <c r="F12" s="6">
        <v>43000</v>
      </c>
      <c r="G12" s="6">
        <f t="shared" si="0"/>
        <v>17200</v>
      </c>
      <c r="H12" s="6">
        <f t="shared" si="1"/>
        <v>4300</v>
      </c>
      <c r="I12" s="6">
        <f t="shared" si="2"/>
        <v>2150</v>
      </c>
      <c r="J12" s="2">
        <v>13</v>
      </c>
      <c r="K12" s="6">
        <f t="shared" si="3"/>
        <v>173.38709677419354</v>
      </c>
      <c r="L12" s="3">
        <f t="shared" si="4"/>
        <v>2254.0322580645161</v>
      </c>
      <c r="M12" s="3">
        <f t="shared" si="5"/>
        <v>7095</v>
      </c>
      <c r="N12" s="8">
        <v>6</v>
      </c>
      <c r="O12" s="11">
        <f t="shared" si="6"/>
        <v>8322.5806451612898</v>
      </c>
      <c r="P12" s="3">
        <f t="shared" si="7"/>
        <v>67676.451612903227</v>
      </c>
      <c r="Q12" s="17">
        <f t="shared" si="8"/>
        <v>5676</v>
      </c>
      <c r="R12" s="17">
        <v>500</v>
      </c>
      <c r="S12" s="26">
        <f t="shared" si="9"/>
        <v>61500.451612903227</v>
      </c>
    </row>
    <row r="13" spans="1:37" ht="18.75">
      <c r="A13" s="1">
        <v>122405</v>
      </c>
      <c r="B13" s="1" t="s">
        <v>11</v>
      </c>
      <c r="C13" s="12" t="s">
        <v>64</v>
      </c>
      <c r="D13" s="12" t="s">
        <v>25</v>
      </c>
      <c r="E13" s="12">
        <v>1224140005</v>
      </c>
      <c r="F13" s="6">
        <v>66000</v>
      </c>
      <c r="G13" s="6">
        <f t="shared" si="0"/>
        <v>26400</v>
      </c>
      <c r="H13" s="6">
        <f t="shared" si="1"/>
        <v>6600</v>
      </c>
      <c r="I13" s="6">
        <f t="shared" si="2"/>
        <v>3300</v>
      </c>
      <c r="J13" s="2">
        <v>12</v>
      </c>
      <c r="K13" s="6">
        <f t="shared" si="3"/>
        <v>266.12903225806451</v>
      </c>
      <c r="L13" s="3">
        <f t="shared" si="4"/>
        <v>3193.5483870967741</v>
      </c>
      <c r="M13" s="3">
        <f t="shared" si="5"/>
        <v>10890</v>
      </c>
      <c r="N13" s="8">
        <v>7</v>
      </c>
      <c r="O13" s="11">
        <f t="shared" si="6"/>
        <v>14903.225806451614</v>
      </c>
      <c r="P13" s="3">
        <f t="shared" si="7"/>
        <v>101480.32258064515</v>
      </c>
      <c r="Q13" s="17">
        <f t="shared" si="8"/>
        <v>8712</v>
      </c>
      <c r="R13" s="17">
        <v>500</v>
      </c>
      <c r="S13" s="26">
        <f t="shared" si="9"/>
        <v>92268.322580645152</v>
      </c>
    </row>
    <row r="14" spans="1:37" ht="18.75">
      <c r="A14" s="1">
        <v>122406</v>
      </c>
      <c r="B14" s="1" t="s">
        <v>8</v>
      </c>
      <c r="C14" s="12" t="s">
        <v>65</v>
      </c>
      <c r="D14" s="12" t="s">
        <v>25</v>
      </c>
      <c r="E14" s="12">
        <v>1224140006</v>
      </c>
      <c r="F14" s="6">
        <v>44000</v>
      </c>
      <c r="G14" s="6">
        <f t="shared" si="0"/>
        <v>17600</v>
      </c>
      <c r="H14" s="6">
        <f t="shared" si="1"/>
        <v>4400</v>
      </c>
      <c r="I14" s="6">
        <f t="shared" si="2"/>
        <v>2200</v>
      </c>
      <c r="J14" s="2">
        <v>9</v>
      </c>
      <c r="K14" s="6">
        <f t="shared" si="3"/>
        <v>177.41935483870967</v>
      </c>
      <c r="L14" s="3">
        <f t="shared" si="4"/>
        <v>1596.7741935483871</v>
      </c>
      <c r="M14" s="3">
        <f t="shared" si="5"/>
        <v>7260</v>
      </c>
      <c r="N14" s="8">
        <v>8</v>
      </c>
      <c r="O14" s="11">
        <f t="shared" si="6"/>
        <v>11354.838709677419</v>
      </c>
      <c r="P14" s="3">
        <f t="shared" si="7"/>
        <v>65701.93548387097</v>
      </c>
      <c r="Q14" s="17">
        <f t="shared" si="8"/>
        <v>5808</v>
      </c>
      <c r="R14" s="17">
        <v>500</v>
      </c>
      <c r="S14" s="26">
        <f t="shared" si="9"/>
        <v>59393.93548387097</v>
      </c>
    </row>
    <row r="15" spans="1:37" ht="18.75">
      <c r="A15" s="1">
        <v>122407</v>
      </c>
      <c r="B15" s="1" t="s">
        <v>9</v>
      </c>
      <c r="C15" s="12" t="s">
        <v>66</v>
      </c>
      <c r="D15" s="12" t="s">
        <v>25</v>
      </c>
      <c r="E15" s="12">
        <v>1224140007</v>
      </c>
      <c r="F15" s="6">
        <v>65000</v>
      </c>
      <c r="G15" s="6">
        <f t="shared" si="0"/>
        <v>26000</v>
      </c>
      <c r="H15" s="6">
        <f t="shared" si="1"/>
        <v>6500</v>
      </c>
      <c r="I15" s="6">
        <f t="shared" si="2"/>
        <v>3250</v>
      </c>
      <c r="J15" s="2">
        <v>32</v>
      </c>
      <c r="K15" s="6">
        <f t="shared" si="3"/>
        <v>262.09677419354841</v>
      </c>
      <c r="L15" s="3">
        <f t="shared" si="4"/>
        <v>8387.0967741935492</v>
      </c>
      <c r="M15" s="3">
        <f t="shared" si="5"/>
        <v>10725</v>
      </c>
      <c r="N15" s="8">
        <v>9</v>
      </c>
      <c r="O15" s="11">
        <f t="shared" si="6"/>
        <v>18870.967741935485</v>
      </c>
      <c r="P15" s="3">
        <f t="shared" si="7"/>
        <v>100991.12903225806</v>
      </c>
      <c r="Q15" s="17">
        <f t="shared" si="8"/>
        <v>8580</v>
      </c>
      <c r="R15" s="17">
        <v>500</v>
      </c>
      <c r="S15" s="26">
        <f t="shared" si="9"/>
        <v>91911.129032258061</v>
      </c>
    </row>
    <row r="16" spans="1:37" ht="18.75">
      <c r="A16" s="1">
        <v>122408</v>
      </c>
      <c r="B16" s="1" t="s">
        <v>13</v>
      </c>
      <c r="C16" s="12" t="s">
        <v>67</v>
      </c>
      <c r="D16" s="12" t="s">
        <v>25</v>
      </c>
      <c r="E16" s="12">
        <v>1224140008</v>
      </c>
      <c r="F16" s="6">
        <v>65000</v>
      </c>
      <c r="G16" s="6">
        <f t="shared" si="0"/>
        <v>26000</v>
      </c>
      <c r="H16" s="6">
        <f t="shared" si="1"/>
        <v>6500</v>
      </c>
      <c r="I16" s="6">
        <f t="shared" si="2"/>
        <v>3250</v>
      </c>
      <c r="J16" s="2">
        <v>21</v>
      </c>
      <c r="K16" s="6">
        <f t="shared" si="3"/>
        <v>262.09677419354841</v>
      </c>
      <c r="L16" s="3">
        <f t="shared" si="4"/>
        <v>5504.032258064517</v>
      </c>
      <c r="M16" s="3">
        <f t="shared" si="5"/>
        <v>10725</v>
      </c>
      <c r="N16" s="8">
        <v>2</v>
      </c>
      <c r="O16" s="11">
        <f t="shared" si="6"/>
        <v>4193.5483870967746</v>
      </c>
      <c r="P16" s="3">
        <f t="shared" si="7"/>
        <v>112785.48387096774</v>
      </c>
      <c r="Q16" s="17">
        <f t="shared" si="8"/>
        <v>8580</v>
      </c>
      <c r="R16" s="17">
        <v>500</v>
      </c>
      <c r="S16" s="26">
        <f t="shared" si="9"/>
        <v>103705.48387096774</v>
      </c>
    </row>
    <row r="17" spans="1:19" ht="18.75">
      <c r="A17" s="1">
        <v>122409</v>
      </c>
      <c r="B17" s="1" t="s">
        <v>14</v>
      </c>
      <c r="C17" s="12" t="s">
        <v>68</v>
      </c>
      <c r="D17" s="12" t="s">
        <v>26</v>
      </c>
      <c r="E17" s="12">
        <v>1224140009</v>
      </c>
      <c r="F17" s="6">
        <v>65000</v>
      </c>
      <c r="G17" s="6">
        <f t="shared" si="0"/>
        <v>26000</v>
      </c>
      <c r="H17" s="6">
        <f t="shared" si="1"/>
        <v>6500</v>
      </c>
      <c r="I17" s="6">
        <f t="shared" si="2"/>
        <v>3250</v>
      </c>
      <c r="J17" s="2">
        <v>34</v>
      </c>
      <c r="K17" s="6">
        <f t="shared" si="3"/>
        <v>262.09677419354841</v>
      </c>
      <c r="L17" s="3">
        <f t="shared" si="4"/>
        <v>8911.2903225806458</v>
      </c>
      <c r="M17" s="3">
        <f t="shared" si="5"/>
        <v>10725</v>
      </c>
      <c r="N17" s="8">
        <v>2</v>
      </c>
      <c r="O17" s="11">
        <f t="shared" si="6"/>
        <v>4193.5483870967746</v>
      </c>
      <c r="P17" s="3">
        <f t="shared" si="7"/>
        <v>116192.74193548388</v>
      </c>
      <c r="Q17" s="17">
        <f t="shared" si="8"/>
        <v>8580</v>
      </c>
      <c r="R17" s="17">
        <v>500</v>
      </c>
      <c r="S17" s="26">
        <f t="shared" si="9"/>
        <v>107112.74193548388</v>
      </c>
    </row>
    <row r="18" spans="1:19" ht="18.75">
      <c r="A18" s="1">
        <v>122410</v>
      </c>
      <c r="B18" s="1" t="s">
        <v>15</v>
      </c>
      <c r="C18" s="12" t="s">
        <v>69</v>
      </c>
      <c r="D18" s="12" t="s">
        <v>26</v>
      </c>
      <c r="E18" s="12">
        <v>1224140010</v>
      </c>
      <c r="F18" s="6">
        <v>165000</v>
      </c>
      <c r="G18" s="6">
        <f t="shared" si="0"/>
        <v>66000</v>
      </c>
      <c r="H18" s="6">
        <f t="shared" si="1"/>
        <v>16500</v>
      </c>
      <c r="I18" s="6">
        <f t="shared" si="2"/>
        <v>8250</v>
      </c>
      <c r="J18" s="2">
        <v>9</v>
      </c>
      <c r="K18" s="6">
        <f t="shared" si="3"/>
        <v>665.32258064516134</v>
      </c>
      <c r="L18" s="3">
        <f t="shared" si="4"/>
        <v>5987.9032258064517</v>
      </c>
      <c r="M18" s="3">
        <f t="shared" si="5"/>
        <v>27225</v>
      </c>
      <c r="N18" s="8">
        <v>2</v>
      </c>
      <c r="O18" s="11">
        <f t="shared" si="6"/>
        <v>10645.161290322581</v>
      </c>
      <c r="P18" s="3">
        <f t="shared" si="7"/>
        <v>278317.74193548382</v>
      </c>
      <c r="Q18" s="17">
        <f t="shared" si="8"/>
        <v>21780</v>
      </c>
      <c r="R18" s="17">
        <v>500</v>
      </c>
      <c r="S18" s="26">
        <f t="shared" si="9"/>
        <v>256037.74193548382</v>
      </c>
    </row>
    <row r="19" spans="1:19" ht="18.75">
      <c r="A19" s="1">
        <v>122411</v>
      </c>
      <c r="B19" s="1" t="s">
        <v>16</v>
      </c>
      <c r="C19" s="12" t="s">
        <v>70</v>
      </c>
      <c r="D19" s="12" t="s">
        <v>24</v>
      </c>
      <c r="E19" s="12">
        <v>1224140011</v>
      </c>
      <c r="F19" s="6">
        <v>75000</v>
      </c>
      <c r="G19" s="6">
        <f t="shared" si="0"/>
        <v>30000</v>
      </c>
      <c r="H19" s="6">
        <f t="shared" si="1"/>
        <v>7500</v>
      </c>
      <c r="I19" s="6">
        <f t="shared" si="2"/>
        <v>3750</v>
      </c>
      <c r="J19" s="2">
        <v>11</v>
      </c>
      <c r="K19" s="6">
        <f t="shared" si="3"/>
        <v>302.41935483870969</v>
      </c>
      <c r="L19" s="3">
        <f t="shared" si="4"/>
        <v>3326.6129032258068</v>
      </c>
      <c r="M19" s="3">
        <f t="shared" si="5"/>
        <v>12375</v>
      </c>
      <c r="N19" s="8">
        <v>2</v>
      </c>
      <c r="O19" s="11">
        <f t="shared" si="6"/>
        <v>4838.7096774193551</v>
      </c>
      <c r="P19" s="3">
        <f t="shared" si="7"/>
        <v>127112.90322580647</v>
      </c>
      <c r="Q19" s="17">
        <f t="shared" si="8"/>
        <v>9900</v>
      </c>
      <c r="R19" s="17">
        <v>500</v>
      </c>
      <c r="S19" s="26">
        <f t="shared" si="9"/>
        <v>116712.90322580647</v>
      </c>
    </row>
    <row r="20" spans="1:19" ht="18.75">
      <c r="A20" s="1">
        <v>122412</v>
      </c>
      <c r="B20" s="1" t="s">
        <v>17</v>
      </c>
      <c r="C20" s="12" t="s">
        <v>71</v>
      </c>
      <c r="D20" s="12" t="s">
        <v>24</v>
      </c>
      <c r="E20" s="12">
        <v>1224140012</v>
      </c>
      <c r="F20" s="6">
        <v>65000</v>
      </c>
      <c r="G20" s="6">
        <f t="shared" si="0"/>
        <v>26000</v>
      </c>
      <c r="H20" s="6">
        <f t="shared" si="1"/>
        <v>6500</v>
      </c>
      <c r="I20" s="6">
        <f t="shared" si="2"/>
        <v>3250</v>
      </c>
      <c r="J20" s="2">
        <v>7</v>
      </c>
      <c r="K20" s="6">
        <f t="shared" si="3"/>
        <v>262.09677419354841</v>
      </c>
      <c r="L20" s="3">
        <f t="shared" si="4"/>
        <v>1834.677419354839</v>
      </c>
      <c r="M20" s="3">
        <f t="shared" si="5"/>
        <v>10725</v>
      </c>
      <c r="N20" s="8">
        <v>2</v>
      </c>
      <c r="O20" s="11">
        <f t="shared" si="6"/>
        <v>4193.5483870967746</v>
      </c>
      <c r="P20" s="3">
        <f t="shared" si="7"/>
        <v>109116.12903225806</v>
      </c>
      <c r="Q20" s="17">
        <f t="shared" si="8"/>
        <v>8580</v>
      </c>
      <c r="R20" s="17">
        <v>500</v>
      </c>
      <c r="S20" s="26">
        <f t="shared" si="9"/>
        <v>100036.12903225806</v>
      </c>
    </row>
    <row r="21" spans="1:19" ht="18.75">
      <c r="A21" s="1">
        <v>122413</v>
      </c>
      <c r="B21" s="1" t="s">
        <v>18</v>
      </c>
      <c r="C21" s="12" t="s">
        <v>72</v>
      </c>
      <c r="D21" s="12" t="s">
        <v>26</v>
      </c>
      <c r="E21" s="12">
        <v>1224140013</v>
      </c>
      <c r="F21" s="6">
        <v>65000</v>
      </c>
      <c r="G21" s="6">
        <f t="shared" si="0"/>
        <v>26000</v>
      </c>
      <c r="H21" s="6">
        <f t="shared" si="1"/>
        <v>6500</v>
      </c>
      <c r="I21" s="6">
        <f t="shared" si="2"/>
        <v>3250</v>
      </c>
      <c r="J21" s="2">
        <v>8</v>
      </c>
      <c r="K21" s="6">
        <f t="shared" si="3"/>
        <v>262.09677419354841</v>
      </c>
      <c r="L21" s="3">
        <f t="shared" si="4"/>
        <v>2096.7741935483873</v>
      </c>
      <c r="M21" s="3">
        <f t="shared" si="5"/>
        <v>10725</v>
      </c>
      <c r="N21" s="8">
        <v>2</v>
      </c>
      <c r="O21" s="11">
        <f t="shared" si="6"/>
        <v>4193.5483870967746</v>
      </c>
      <c r="P21" s="3">
        <f t="shared" si="7"/>
        <v>109378.22580645162</v>
      </c>
      <c r="Q21" s="17">
        <f t="shared" si="8"/>
        <v>8580</v>
      </c>
      <c r="R21" s="17">
        <v>500</v>
      </c>
      <c r="S21" s="26">
        <f t="shared" si="9"/>
        <v>100298.22580645162</v>
      </c>
    </row>
    <row r="22" spans="1:19" ht="18.75">
      <c r="A22" s="1">
        <v>122414</v>
      </c>
      <c r="B22" s="1" t="s">
        <v>19</v>
      </c>
      <c r="C22" s="12" t="s">
        <v>73</v>
      </c>
      <c r="D22" s="12" t="s">
        <v>25</v>
      </c>
      <c r="E22" s="12">
        <v>1224140014</v>
      </c>
      <c r="F22" s="6">
        <v>70000</v>
      </c>
      <c r="G22" s="6">
        <f t="shared" si="0"/>
        <v>28000</v>
      </c>
      <c r="H22" s="6">
        <f t="shared" si="1"/>
        <v>7000</v>
      </c>
      <c r="I22" s="6">
        <f t="shared" si="2"/>
        <v>3500</v>
      </c>
      <c r="J22" s="2">
        <v>13</v>
      </c>
      <c r="K22" s="6">
        <f t="shared" si="3"/>
        <v>282.25806451612902</v>
      </c>
      <c r="L22" s="3">
        <f t="shared" si="4"/>
        <v>3669.3548387096771</v>
      </c>
      <c r="M22" s="3">
        <f t="shared" si="5"/>
        <v>11550</v>
      </c>
      <c r="N22" s="8">
        <v>2</v>
      </c>
      <c r="O22" s="11">
        <f t="shared" si="6"/>
        <v>4516.1290322580644</v>
      </c>
      <c r="P22" s="3">
        <f t="shared" si="7"/>
        <v>119203.22580645162</v>
      </c>
      <c r="Q22" s="17">
        <f t="shared" si="8"/>
        <v>9240</v>
      </c>
      <c r="R22" s="17">
        <v>500</v>
      </c>
      <c r="S22" s="26">
        <f t="shared" si="9"/>
        <v>109463.22580645162</v>
      </c>
    </row>
    <row r="23" spans="1:19" ht="18.75">
      <c r="A23" s="1">
        <v>122415</v>
      </c>
      <c r="B23" s="1" t="s">
        <v>20</v>
      </c>
      <c r="C23" s="12" t="s">
        <v>74</v>
      </c>
      <c r="D23" s="12" t="s">
        <v>24</v>
      </c>
      <c r="E23" s="12">
        <v>1224140015</v>
      </c>
      <c r="F23" s="6">
        <v>65000</v>
      </c>
      <c r="G23" s="6">
        <f t="shared" si="0"/>
        <v>26000</v>
      </c>
      <c r="H23" s="6">
        <f t="shared" si="1"/>
        <v>6500</v>
      </c>
      <c r="I23" s="6">
        <f t="shared" si="2"/>
        <v>3250</v>
      </c>
      <c r="J23" s="2">
        <v>14</v>
      </c>
      <c r="K23" s="6">
        <f t="shared" si="3"/>
        <v>262.09677419354841</v>
      </c>
      <c r="L23" s="3">
        <f t="shared" si="4"/>
        <v>3669.354838709678</v>
      </c>
      <c r="M23" s="3">
        <f t="shared" si="5"/>
        <v>10725</v>
      </c>
      <c r="N23" s="8">
        <v>2</v>
      </c>
      <c r="O23" s="11">
        <f t="shared" si="6"/>
        <v>4193.5483870967746</v>
      </c>
      <c r="P23" s="3">
        <f t="shared" si="7"/>
        <v>110950.80645161291</v>
      </c>
      <c r="Q23" s="17">
        <f t="shared" si="8"/>
        <v>8580</v>
      </c>
      <c r="R23" s="17">
        <v>500</v>
      </c>
      <c r="S23" s="26">
        <f t="shared" si="9"/>
        <v>101870.80645161291</v>
      </c>
    </row>
    <row r="24" spans="1:19" ht="18.75">
      <c r="A24" s="1">
        <v>122416</v>
      </c>
      <c r="B24" s="1" t="s">
        <v>21</v>
      </c>
      <c r="C24" s="12" t="s">
        <v>75</v>
      </c>
      <c r="D24" s="12" t="s">
        <v>24</v>
      </c>
      <c r="E24" s="12">
        <v>1224140016</v>
      </c>
      <c r="F24" s="6">
        <v>56000</v>
      </c>
      <c r="G24" s="6">
        <f t="shared" si="0"/>
        <v>22400</v>
      </c>
      <c r="H24" s="6">
        <f t="shared" si="1"/>
        <v>5600</v>
      </c>
      <c r="I24" s="6">
        <f t="shared" si="2"/>
        <v>2800</v>
      </c>
      <c r="J24" s="2">
        <v>7</v>
      </c>
      <c r="K24" s="6">
        <f t="shared" si="3"/>
        <v>225.80645161290323</v>
      </c>
      <c r="L24" s="3">
        <f t="shared" si="4"/>
        <v>1580.6451612903227</v>
      </c>
      <c r="M24" s="3">
        <f t="shared" si="5"/>
        <v>9240</v>
      </c>
      <c r="N24" s="8">
        <v>2</v>
      </c>
      <c r="O24" s="11">
        <f t="shared" si="6"/>
        <v>3612.9032258064517</v>
      </c>
      <c r="P24" s="3">
        <f t="shared" si="7"/>
        <v>94007.741935483864</v>
      </c>
      <c r="Q24" s="17">
        <f t="shared" si="8"/>
        <v>7392</v>
      </c>
      <c r="R24" s="17">
        <v>500</v>
      </c>
      <c r="S24" s="26">
        <f t="shared" si="9"/>
        <v>86115.741935483864</v>
      </c>
    </row>
    <row r="25" spans="1:19" ht="18.75">
      <c r="A25" s="1">
        <v>122417</v>
      </c>
      <c r="B25" s="1" t="s">
        <v>22</v>
      </c>
      <c r="C25" s="12" t="s">
        <v>76</v>
      </c>
      <c r="D25" s="12" t="s">
        <v>24</v>
      </c>
      <c r="E25" s="12">
        <v>1224140017</v>
      </c>
      <c r="F25" s="6">
        <v>56000</v>
      </c>
      <c r="G25" s="6">
        <f t="shared" si="0"/>
        <v>22400</v>
      </c>
      <c r="H25" s="6">
        <f t="shared" si="1"/>
        <v>5600</v>
      </c>
      <c r="I25" s="6">
        <f t="shared" si="2"/>
        <v>2800</v>
      </c>
      <c r="J25" s="2">
        <v>8</v>
      </c>
      <c r="K25" s="6">
        <f t="shared" si="3"/>
        <v>225.80645161290323</v>
      </c>
      <c r="L25" s="3">
        <f t="shared" si="4"/>
        <v>1806.4516129032259</v>
      </c>
      <c r="M25" s="3">
        <f t="shared" si="5"/>
        <v>9240</v>
      </c>
      <c r="N25" s="8">
        <v>5</v>
      </c>
      <c r="O25" s="11">
        <f t="shared" si="6"/>
        <v>9032.2580645161288</v>
      </c>
      <c r="P25" s="3">
        <f t="shared" si="7"/>
        <v>88814.193548387091</v>
      </c>
      <c r="Q25" s="17">
        <f t="shared" si="8"/>
        <v>7392</v>
      </c>
      <c r="R25" s="17">
        <v>500</v>
      </c>
      <c r="S25" s="26">
        <f t="shared" si="9"/>
        <v>80922.193548387091</v>
      </c>
    </row>
    <row r="26" spans="1:19" ht="18.75">
      <c r="A26" s="1">
        <v>122418</v>
      </c>
      <c r="B26" s="12" t="s">
        <v>27</v>
      </c>
      <c r="C26" s="12" t="s">
        <v>77</v>
      </c>
      <c r="D26" s="12" t="s">
        <v>24</v>
      </c>
      <c r="E26" s="12">
        <v>1224140018</v>
      </c>
      <c r="F26" s="6">
        <v>245000</v>
      </c>
      <c r="G26" s="6">
        <f t="shared" si="0"/>
        <v>98000</v>
      </c>
      <c r="H26" s="6">
        <f t="shared" si="1"/>
        <v>24500</v>
      </c>
      <c r="I26" s="6">
        <f t="shared" si="2"/>
        <v>12250</v>
      </c>
      <c r="J26" s="2">
        <v>9</v>
      </c>
      <c r="K26" s="6">
        <f t="shared" si="3"/>
        <v>987.90322580645159</v>
      </c>
      <c r="L26" s="3">
        <f t="shared" si="4"/>
        <v>8891.1290322580644</v>
      </c>
      <c r="M26" s="3">
        <f t="shared" si="5"/>
        <v>40425</v>
      </c>
      <c r="N26" s="8">
        <v>5</v>
      </c>
      <c r="O26" s="11">
        <f t="shared" si="6"/>
        <v>39516.129032258061</v>
      </c>
      <c r="P26" s="3">
        <f t="shared" si="7"/>
        <v>389550</v>
      </c>
      <c r="Q26" s="17">
        <f t="shared" si="8"/>
        <v>32340</v>
      </c>
      <c r="R26" s="17">
        <v>500</v>
      </c>
      <c r="S26" s="26">
        <f t="shared" si="9"/>
        <v>356710</v>
      </c>
    </row>
    <row r="27" spans="1:19" ht="18.75">
      <c r="A27" s="1">
        <v>122419</v>
      </c>
      <c r="B27" s="12" t="s">
        <v>28</v>
      </c>
      <c r="C27" s="13" t="s">
        <v>78</v>
      </c>
      <c r="D27" s="12" t="s">
        <v>26</v>
      </c>
      <c r="E27" s="12">
        <v>1224140019</v>
      </c>
      <c r="F27" s="6">
        <v>30000</v>
      </c>
      <c r="G27" s="6">
        <f t="shared" si="0"/>
        <v>12000</v>
      </c>
      <c r="H27" s="6">
        <f t="shared" si="1"/>
        <v>3000</v>
      </c>
      <c r="I27" s="6">
        <f t="shared" si="2"/>
        <v>1500</v>
      </c>
      <c r="J27" s="2">
        <v>10</v>
      </c>
      <c r="K27" s="6">
        <f t="shared" si="3"/>
        <v>120.96774193548387</v>
      </c>
      <c r="L27" s="3">
        <f t="shared" si="4"/>
        <v>1209.6774193548388</v>
      </c>
      <c r="M27" s="3">
        <f t="shared" si="5"/>
        <v>4950</v>
      </c>
      <c r="N27" s="8">
        <v>5</v>
      </c>
      <c r="O27" s="11">
        <f t="shared" si="6"/>
        <v>4838.7096774193551</v>
      </c>
      <c r="P27" s="3">
        <f t="shared" si="7"/>
        <v>47820.967741935485</v>
      </c>
      <c r="Q27" s="17">
        <f t="shared" si="8"/>
        <v>3960</v>
      </c>
      <c r="R27" s="17">
        <v>500</v>
      </c>
      <c r="S27" s="26">
        <f t="shared" si="9"/>
        <v>43360.967741935485</v>
      </c>
    </row>
    <row r="28" spans="1:19" ht="18.75">
      <c r="A28" s="1">
        <v>122420</v>
      </c>
      <c r="B28" s="12" t="s">
        <v>29</v>
      </c>
      <c r="C28" s="13" t="s">
        <v>79</v>
      </c>
      <c r="D28" s="12" t="s">
        <v>26</v>
      </c>
      <c r="E28" s="12">
        <v>1224140020</v>
      </c>
      <c r="F28" s="6">
        <v>40000</v>
      </c>
      <c r="G28" s="6">
        <f t="shared" si="0"/>
        <v>16000</v>
      </c>
      <c r="H28" s="6">
        <f t="shared" si="1"/>
        <v>4000</v>
      </c>
      <c r="I28" s="6">
        <f t="shared" si="2"/>
        <v>2000</v>
      </c>
      <c r="J28" s="2">
        <v>11</v>
      </c>
      <c r="K28" s="6">
        <f t="shared" si="3"/>
        <v>161.29032258064515</v>
      </c>
      <c r="L28" s="3">
        <f t="shared" si="4"/>
        <v>1774.1935483870966</v>
      </c>
      <c r="M28" s="3">
        <f t="shared" si="5"/>
        <v>6600</v>
      </c>
      <c r="N28" s="8">
        <v>5</v>
      </c>
      <c r="O28" s="11">
        <f t="shared" si="6"/>
        <v>6451.6129032258059</v>
      </c>
      <c r="P28" s="3">
        <f t="shared" si="7"/>
        <v>63922.580645161288</v>
      </c>
      <c r="Q28" s="17">
        <f t="shared" si="8"/>
        <v>5280</v>
      </c>
      <c r="R28" s="17">
        <v>500</v>
      </c>
      <c r="S28" s="26">
        <f t="shared" si="9"/>
        <v>58142.580645161288</v>
      </c>
    </row>
    <row r="29" spans="1:19" ht="18.75">
      <c r="A29" s="1">
        <v>122421</v>
      </c>
      <c r="B29" s="12" t="s">
        <v>30</v>
      </c>
      <c r="C29" s="13" t="s">
        <v>80</v>
      </c>
      <c r="D29" s="12" t="s">
        <v>26</v>
      </c>
      <c r="E29" s="12">
        <v>1224140021</v>
      </c>
      <c r="F29" s="14">
        <v>30000</v>
      </c>
      <c r="G29" s="6">
        <f t="shared" si="0"/>
        <v>12000</v>
      </c>
      <c r="H29" s="6">
        <f t="shared" si="1"/>
        <v>3000</v>
      </c>
      <c r="I29" s="6">
        <f t="shared" si="2"/>
        <v>1500</v>
      </c>
      <c r="J29" s="2">
        <v>12</v>
      </c>
      <c r="K29" s="6">
        <f t="shared" si="3"/>
        <v>120.96774193548387</v>
      </c>
      <c r="L29" s="3">
        <f t="shared" si="4"/>
        <v>1451.6129032258063</v>
      </c>
      <c r="M29" s="3">
        <f t="shared" si="5"/>
        <v>4950</v>
      </c>
      <c r="N29" s="8">
        <v>5</v>
      </c>
      <c r="O29" s="11">
        <f t="shared" si="6"/>
        <v>4838.7096774193551</v>
      </c>
      <c r="P29" s="3">
        <f t="shared" si="7"/>
        <v>48062.903225806447</v>
      </c>
      <c r="Q29" s="17">
        <f t="shared" si="8"/>
        <v>3960</v>
      </c>
      <c r="R29" s="17">
        <v>500</v>
      </c>
      <c r="S29" s="26">
        <f t="shared" si="9"/>
        <v>43602.903225806447</v>
      </c>
    </row>
    <row r="30" spans="1:19" ht="18.75">
      <c r="A30" s="1">
        <v>122422</v>
      </c>
      <c r="B30" s="12" t="s">
        <v>31</v>
      </c>
      <c r="C30" s="13" t="s">
        <v>72</v>
      </c>
      <c r="D30" s="12" t="s">
        <v>26</v>
      </c>
      <c r="E30" s="12">
        <v>1224140022</v>
      </c>
      <c r="F30" s="14">
        <v>60000</v>
      </c>
      <c r="G30" s="6">
        <f t="shared" si="0"/>
        <v>24000</v>
      </c>
      <c r="H30" s="6">
        <f t="shared" si="1"/>
        <v>6000</v>
      </c>
      <c r="I30" s="6">
        <f t="shared" si="2"/>
        <v>3000</v>
      </c>
      <c r="J30" s="2">
        <v>13</v>
      </c>
      <c r="K30" s="6">
        <f t="shared" si="3"/>
        <v>241.93548387096774</v>
      </c>
      <c r="L30" s="3">
        <f t="shared" si="4"/>
        <v>3145.1612903225805</v>
      </c>
      <c r="M30" s="3">
        <f t="shared" si="5"/>
        <v>9900</v>
      </c>
      <c r="N30" s="8">
        <v>5</v>
      </c>
      <c r="O30" s="11">
        <f t="shared" si="6"/>
        <v>9677.4193548387102</v>
      </c>
      <c r="P30" s="3">
        <f t="shared" si="7"/>
        <v>96367.741935483864</v>
      </c>
      <c r="Q30" s="17">
        <f t="shared" si="8"/>
        <v>7920</v>
      </c>
      <c r="R30" s="17">
        <v>500</v>
      </c>
      <c r="S30" s="26">
        <f t="shared" si="9"/>
        <v>87947.741935483864</v>
      </c>
    </row>
    <row r="31" spans="1:19" ht="18.75">
      <c r="A31" s="1">
        <v>122423</v>
      </c>
      <c r="B31" s="12" t="s">
        <v>32</v>
      </c>
      <c r="C31" s="13" t="s">
        <v>81</v>
      </c>
      <c r="D31" s="12" t="s">
        <v>26</v>
      </c>
      <c r="E31" s="12">
        <v>1224140023</v>
      </c>
      <c r="F31" s="14">
        <v>25000</v>
      </c>
      <c r="G31" s="6">
        <f t="shared" si="0"/>
        <v>10000</v>
      </c>
      <c r="H31" s="6">
        <f t="shared" si="1"/>
        <v>2500</v>
      </c>
      <c r="I31" s="6">
        <f t="shared" si="2"/>
        <v>1250</v>
      </c>
      <c r="J31" s="2">
        <v>14</v>
      </c>
      <c r="K31" s="6">
        <f t="shared" si="3"/>
        <v>100.80645161290323</v>
      </c>
      <c r="L31" s="3">
        <f t="shared" si="4"/>
        <v>1411.2903225806454</v>
      </c>
      <c r="M31" s="3">
        <f t="shared" si="5"/>
        <v>4125</v>
      </c>
      <c r="N31" s="15">
        <v>1</v>
      </c>
      <c r="O31" s="11">
        <f t="shared" si="6"/>
        <v>806.45161290322585</v>
      </c>
      <c r="P31" s="3">
        <f t="shared" si="7"/>
        <v>43479.838709677417</v>
      </c>
      <c r="Q31" s="17">
        <f t="shared" si="8"/>
        <v>3300</v>
      </c>
      <c r="R31" s="17">
        <v>500</v>
      </c>
      <c r="S31" s="26">
        <f t="shared" si="9"/>
        <v>39679.838709677417</v>
      </c>
    </row>
    <row r="32" spans="1:19" ht="18.75">
      <c r="A32" s="1">
        <v>122424</v>
      </c>
      <c r="B32" s="12" t="s">
        <v>33</v>
      </c>
      <c r="C32" s="13" t="s">
        <v>82</v>
      </c>
      <c r="D32" s="12" t="s">
        <v>26</v>
      </c>
      <c r="E32" s="12">
        <v>1224140024</v>
      </c>
      <c r="F32" s="14">
        <v>40000</v>
      </c>
      <c r="G32" s="6">
        <f t="shared" si="0"/>
        <v>16000</v>
      </c>
      <c r="H32" s="6">
        <f t="shared" si="1"/>
        <v>4000</v>
      </c>
      <c r="I32" s="6">
        <f t="shared" si="2"/>
        <v>2000</v>
      </c>
      <c r="J32" s="2">
        <v>15</v>
      </c>
      <c r="K32" s="6">
        <f t="shared" si="3"/>
        <v>161.29032258064515</v>
      </c>
      <c r="L32" s="3">
        <f t="shared" si="4"/>
        <v>2419.3548387096771</v>
      </c>
      <c r="M32" s="3">
        <f t="shared" si="5"/>
        <v>6600</v>
      </c>
      <c r="N32" s="15">
        <v>2</v>
      </c>
      <c r="O32" s="11">
        <f t="shared" si="6"/>
        <v>2580.6451612903224</v>
      </c>
      <c r="P32" s="3">
        <f t="shared" si="7"/>
        <v>68438.709677419349</v>
      </c>
      <c r="Q32" s="17">
        <f t="shared" si="8"/>
        <v>5280</v>
      </c>
      <c r="R32" s="17">
        <v>500</v>
      </c>
      <c r="S32" s="26">
        <f t="shared" si="9"/>
        <v>62658.709677419349</v>
      </c>
    </row>
    <row r="33" spans="1:19" ht="18.75">
      <c r="A33" s="1">
        <v>122425</v>
      </c>
      <c r="B33" s="12" t="s">
        <v>34</v>
      </c>
      <c r="C33" s="13" t="s">
        <v>83</v>
      </c>
      <c r="D33" s="12" t="s">
        <v>24</v>
      </c>
      <c r="E33" s="12">
        <v>1224140025</v>
      </c>
      <c r="F33" s="14">
        <v>150000</v>
      </c>
      <c r="G33" s="6">
        <f t="shared" si="0"/>
        <v>60000</v>
      </c>
      <c r="H33" s="6">
        <f t="shared" si="1"/>
        <v>15000</v>
      </c>
      <c r="I33" s="6">
        <f t="shared" si="2"/>
        <v>7500</v>
      </c>
      <c r="J33" s="2">
        <v>16</v>
      </c>
      <c r="K33" s="6">
        <f t="shared" si="3"/>
        <v>604.83870967741939</v>
      </c>
      <c r="L33" s="3">
        <f t="shared" si="4"/>
        <v>9677.4193548387102</v>
      </c>
      <c r="M33" s="3">
        <f t="shared" si="5"/>
        <v>24750</v>
      </c>
      <c r="N33" s="15">
        <v>3</v>
      </c>
      <c r="O33" s="11">
        <f t="shared" si="6"/>
        <v>14516.129032258064</v>
      </c>
      <c r="P33" s="3">
        <f t="shared" si="7"/>
        <v>252411.29032258061</v>
      </c>
      <c r="Q33" s="17">
        <f t="shared" si="8"/>
        <v>19800</v>
      </c>
      <c r="R33" s="17">
        <v>500</v>
      </c>
      <c r="S33" s="26">
        <f t="shared" si="9"/>
        <v>232111.29032258061</v>
      </c>
    </row>
    <row r="34" spans="1:19" ht="18.75">
      <c r="A34" s="1">
        <v>122426</v>
      </c>
      <c r="B34" s="12" t="s">
        <v>35</v>
      </c>
      <c r="C34" s="13" t="s">
        <v>84</v>
      </c>
      <c r="D34" s="12" t="s">
        <v>24</v>
      </c>
      <c r="E34" s="12">
        <v>1224140026</v>
      </c>
      <c r="F34" s="14">
        <v>45000</v>
      </c>
      <c r="G34" s="6">
        <f t="shared" si="0"/>
        <v>18000</v>
      </c>
      <c r="H34" s="6">
        <f t="shared" si="1"/>
        <v>4500</v>
      </c>
      <c r="I34" s="6">
        <f t="shared" si="2"/>
        <v>2250</v>
      </c>
      <c r="J34" s="2">
        <v>17</v>
      </c>
      <c r="K34" s="6">
        <f t="shared" si="3"/>
        <v>181.45161290322579</v>
      </c>
      <c r="L34" s="3">
        <f t="shared" si="4"/>
        <v>3084.6774193548385</v>
      </c>
      <c r="M34" s="3">
        <f t="shared" si="5"/>
        <v>7425</v>
      </c>
      <c r="N34" s="15">
        <v>4</v>
      </c>
      <c r="O34" s="11">
        <f t="shared" si="6"/>
        <v>5806.4516129032254</v>
      </c>
      <c r="P34" s="3">
        <f t="shared" si="7"/>
        <v>74453.225806451606</v>
      </c>
      <c r="Q34" s="17">
        <f t="shared" si="8"/>
        <v>5940</v>
      </c>
      <c r="R34" s="17">
        <v>500</v>
      </c>
      <c r="S34" s="26">
        <f t="shared" si="9"/>
        <v>68013.225806451606</v>
      </c>
    </row>
    <row r="35" spans="1:19" ht="18.75">
      <c r="A35" s="1">
        <v>122427</v>
      </c>
      <c r="B35" s="12" t="s">
        <v>36</v>
      </c>
      <c r="C35" s="13" t="s">
        <v>85</v>
      </c>
      <c r="D35" s="12" t="s">
        <v>24</v>
      </c>
      <c r="E35" s="12">
        <v>1224140027</v>
      </c>
      <c r="F35" s="14">
        <v>230000</v>
      </c>
      <c r="G35" s="6">
        <f t="shared" si="0"/>
        <v>92000</v>
      </c>
      <c r="H35" s="6">
        <f t="shared" si="1"/>
        <v>23000</v>
      </c>
      <c r="I35" s="6">
        <f t="shared" si="2"/>
        <v>11500</v>
      </c>
      <c r="J35" s="2">
        <v>18</v>
      </c>
      <c r="K35" s="6">
        <f t="shared" si="3"/>
        <v>927.41935483870964</v>
      </c>
      <c r="L35" s="3">
        <f t="shared" si="4"/>
        <v>16693.548387096773</v>
      </c>
      <c r="M35" s="3">
        <f t="shared" si="5"/>
        <v>37950</v>
      </c>
      <c r="N35" s="15">
        <v>5</v>
      </c>
      <c r="O35" s="11">
        <f t="shared" si="6"/>
        <v>37096.774193548386</v>
      </c>
      <c r="P35" s="3">
        <f t="shared" si="7"/>
        <v>374046.77419354842</v>
      </c>
      <c r="Q35" s="17">
        <f t="shared" si="8"/>
        <v>30360</v>
      </c>
      <c r="R35" s="17">
        <v>500</v>
      </c>
      <c r="S35" s="26">
        <f t="shared" si="9"/>
        <v>343186.77419354842</v>
      </c>
    </row>
    <row r="36" spans="1:19" ht="18.75">
      <c r="A36" s="1">
        <v>122428</v>
      </c>
      <c r="B36" s="12" t="s">
        <v>37</v>
      </c>
      <c r="C36" s="13" t="s">
        <v>86</v>
      </c>
      <c r="D36" s="12" t="s">
        <v>24</v>
      </c>
      <c r="E36" s="12">
        <v>1224140028</v>
      </c>
      <c r="F36" s="14">
        <v>30000</v>
      </c>
      <c r="G36" s="6">
        <f t="shared" si="0"/>
        <v>12000</v>
      </c>
      <c r="H36" s="6">
        <f t="shared" si="1"/>
        <v>3000</v>
      </c>
      <c r="I36" s="6">
        <f t="shared" si="2"/>
        <v>1500</v>
      </c>
      <c r="J36" s="16">
        <v>1</v>
      </c>
      <c r="K36" s="6">
        <f t="shared" si="3"/>
        <v>120.96774193548387</v>
      </c>
      <c r="L36" s="3">
        <f t="shared" si="4"/>
        <v>120.96774193548387</v>
      </c>
      <c r="M36" s="3">
        <f t="shared" si="5"/>
        <v>4950</v>
      </c>
      <c r="N36" s="15">
        <v>6</v>
      </c>
      <c r="O36" s="11">
        <f t="shared" si="6"/>
        <v>5806.4516129032254</v>
      </c>
      <c r="P36" s="3">
        <f t="shared" si="7"/>
        <v>45764.516129032258</v>
      </c>
      <c r="Q36" s="17">
        <f t="shared" si="8"/>
        <v>3960</v>
      </c>
      <c r="R36" s="17">
        <v>500</v>
      </c>
      <c r="S36" s="26">
        <f t="shared" si="9"/>
        <v>41304.516129032258</v>
      </c>
    </row>
    <row r="37" spans="1:19" ht="18.75">
      <c r="A37" s="1">
        <v>122429</v>
      </c>
      <c r="B37" s="12" t="s">
        <v>38</v>
      </c>
      <c r="C37" s="13" t="s">
        <v>87</v>
      </c>
      <c r="D37" s="12" t="s">
        <v>24</v>
      </c>
      <c r="E37" s="12">
        <v>1224140029</v>
      </c>
      <c r="F37" s="14">
        <v>30000</v>
      </c>
      <c r="G37" s="6">
        <f t="shared" si="0"/>
        <v>12000</v>
      </c>
      <c r="H37" s="6">
        <f t="shared" si="1"/>
        <v>3000</v>
      </c>
      <c r="I37" s="6">
        <f t="shared" si="2"/>
        <v>1500</v>
      </c>
      <c r="J37" s="16">
        <v>5</v>
      </c>
      <c r="K37" s="6">
        <f t="shared" si="3"/>
        <v>120.96774193548387</v>
      </c>
      <c r="L37" s="3">
        <f t="shared" si="4"/>
        <v>604.83870967741939</v>
      </c>
      <c r="M37" s="3">
        <f t="shared" si="5"/>
        <v>4950</v>
      </c>
      <c r="N37" s="15">
        <v>7</v>
      </c>
      <c r="O37" s="11">
        <f t="shared" si="6"/>
        <v>6774.1935483870966</v>
      </c>
      <c r="P37" s="3">
        <f t="shared" si="7"/>
        <v>45280.645161290318</v>
      </c>
      <c r="Q37" s="17">
        <f t="shared" si="8"/>
        <v>3960</v>
      </c>
      <c r="R37" s="17">
        <v>500</v>
      </c>
      <c r="S37" s="26">
        <f t="shared" si="9"/>
        <v>40820.645161290318</v>
      </c>
    </row>
    <row r="38" spans="1:19" ht="18.75">
      <c r="A38" s="1">
        <v>122430</v>
      </c>
      <c r="B38" s="12" t="s">
        <v>39</v>
      </c>
      <c r="C38" s="13" t="s">
        <v>88</v>
      </c>
      <c r="D38" s="12" t="s">
        <v>24</v>
      </c>
      <c r="E38" s="12">
        <v>1224140030</v>
      </c>
      <c r="F38" s="14">
        <v>30000</v>
      </c>
      <c r="G38" s="6">
        <f t="shared" si="0"/>
        <v>12000</v>
      </c>
      <c r="H38" s="6">
        <f t="shared" si="1"/>
        <v>3000</v>
      </c>
      <c r="I38" s="6">
        <f t="shared" si="2"/>
        <v>1500</v>
      </c>
      <c r="J38" s="16">
        <v>6</v>
      </c>
      <c r="K38" s="6">
        <f t="shared" si="3"/>
        <v>120.96774193548387</v>
      </c>
      <c r="L38" s="3">
        <f t="shared" si="4"/>
        <v>725.80645161290317</v>
      </c>
      <c r="M38" s="3">
        <f t="shared" si="5"/>
        <v>4950</v>
      </c>
      <c r="N38" s="15">
        <v>3</v>
      </c>
      <c r="O38" s="11">
        <f t="shared" si="6"/>
        <v>2903.2258064516127</v>
      </c>
      <c r="P38" s="3">
        <f t="shared" si="7"/>
        <v>49272.580645161288</v>
      </c>
      <c r="Q38" s="17">
        <f t="shared" si="8"/>
        <v>3960</v>
      </c>
      <c r="R38" s="17">
        <v>500</v>
      </c>
      <c r="S38" s="26">
        <f t="shared" si="9"/>
        <v>44812.580645161288</v>
      </c>
    </row>
    <row r="39" spans="1:19" ht="18.75">
      <c r="A39" s="1">
        <v>122431</v>
      </c>
      <c r="B39" s="12" t="s">
        <v>40</v>
      </c>
      <c r="C39" s="13" t="s">
        <v>89</v>
      </c>
      <c r="D39" s="12" t="s">
        <v>24</v>
      </c>
      <c r="E39" s="12">
        <v>1224140031</v>
      </c>
      <c r="F39" s="14">
        <v>30000</v>
      </c>
      <c r="G39" s="6">
        <f t="shared" si="0"/>
        <v>12000</v>
      </c>
      <c r="H39" s="6">
        <f t="shared" si="1"/>
        <v>3000</v>
      </c>
      <c r="I39" s="6">
        <f t="shared" si="2"/>
        <v>1500</v>
      </c>
      <c r="J39" s="16">
        <v>7</v>
      </c>
      <c r="K39" s="6">
        <f t="shared" si="3"/>
        <v>120.96774193548387</v>
      </c>
      <c r="L39" s="3">
        <f t="shared" si="4"/>
        <v>846.77419354838707</v>
      </c>
      <c r="M39" s="3">
        <f t="shared" si="5"/>
        <v>4950</v>
      </c>
      <c r="N39" s="15">
        <v>3</v>
      </c>
      <c r="O39" s="11">
        <f t="shared" si="6"/>
        <v>2903.2258064516127</v>
      </c>
      <c r="P39" s="3">
        <f t="shared" si="7"/>
        <v>49393.548387096773</v>
      </c>
      <c r="Q39" s="17">
        <f t="shared" si="8"/>
        <v>3960</v>
      </c>
      <c r="R39" s="17">
        <v>500</v>
      </c>
      <c r="S39" s="26">
        <f t="shared" si="9"/>
        <v>44933.548387096773</v>
      </c>
    </row>
    <row r="40" spans="1:19" ht="18.75">
      <c r="A40" s="1">
        <v>122432</v>
      </c>
      <c r="B40" s="12" t="s">
        <v>41</v>
      </c>
      <c r="C40" s="13" t="s">
        <v>90</v>
      </c>
      <c r="D40" s="12" t="s">
        <v>24</v>
      </c>
      <c r="E40" s="12">
        <v>1224140032</v>
      </c>
      <c r="F40" s="14">
        <v>30000</v>
      </c>
      <c r="G40" s="6">
        <f t="shared" si="0"/>
        <v>12000</v>
      </c>
      <c r="H40" s="6">
        <f t="shared" si="1"/>
        <v>3000</v>
      </c>
      <c r="I40" s="6">
        <f t="shared" si="2"/>
        <v>1500</v>
      </c>
      <c r="J40" s="16">
        <v>8</v>
      </c>
      <c r="K40" s="6">
        <f t="shared" si="3"/>
        <v>120.96774193548387</v>
      </c>
      <c r="L40" s="3">
        <f t="shared" si="4"/>
        <v>967.74193548387098</v>
      </c>
      <c r="M40" s="3">
        <f t="shared" si="5"/>
        <v>4950</v>
      </c>
      <c r="N40" s="15">
        <v>3</v>
      </c>
      <c r="O40" s="11">
        <f t="shared" si="6"/>
        <v>2903.2258064516127</v>
      </c>
      <c r="P40" s="3">
        <f t="shared" si="7"/>
        <v>49514.516129032258</v>
      </c>
      <c r="Q40" s="17">
        <f t="shared" si="8"/>
        <v>3960</v>
      </c>
      <c r="R40" s="17">
        <v>500</v>
      </c>
      <c r="S40" s="26">
        <f t="shared" si="9"/>
        <v>45054.516129032258</v>
      </c>
    </row>
    <row r="41" spans="1:19" ht="18.75">
      <c r="A41" s="1">
        <v>122433</v>
      </c>
      <c r="B41" s="12" t="s">
        <v>42</v>
      </c>
      <c r="C41" s="13" t="s">
        <v>91</v>
      </c>
      <c r="D41" s="12" t="s">
        <v>25</v>
      </c>
      <c r="E41" s="12">
        <v>1224140033</v>
      </c>
      <c r="F41" s="14">
        <v>30000</v>
      </c>
      <c r="G41" s="6">
        <f t="shared" ref="G41:G72" si="10">F41*40/100</f>
        <v>12000</v>
      </c>
      <c r="H41" s="6">
        <f t="shared" ref="H41:H59" si="11">F41*10/100</f>
        <v>3000</v>
      </c>
      <c r="I41" s="6">
        <f t="shared" ref="I41:I59" si="12">F41*5/100</f>
        <v>1500</v>
      </c>
      <c r="J41" s="16">
        <v>9</v>
      </c>
      <c r="K41" s="6">
        <f t="shared" ref="K41:K59" si="13">F41/248</f>
        <v>120.96774193548387</v>
      </c>
      <c r="L41" s="3">
        <f t="shared" ref="L41:L72" si="14">K41*J41</f>
        <v>1088.7096774193549</v>
      </c>
      <c r="M41" s="3">
        <f t="shared" ref="M41:M59" si="15">(F41+H41)*15/100</f>
        <v>4950</v>
      </c>
      <c r="N41" s="15">
        <v>3</v>
      </c>
      <c r="O41" s="11">
        <f t="shared" ref="O41:O72" si="16">(F41/31)*N41</f>
        <v>2903.2258064516127</v>
      </c>
      <c r="P41" s="3">
        <f t="shared" ref="P41:P72" si="17">(F41+G41+H41+I41+L41+M41)-O41</f>
        <v>49635.483870967742</v>
      </c>
      <c r="Q41" s="17">
        <f t="shared" ref="Q41:Q59" si="18">(F41+H41)*12/100</f>
        <v>3960</v>
      </c>
      <c r="R41" s="17">
        <v>500</v>
      </c>
      <c r="S41" s="26">
        <f t="shared" ref="S41:S72" si="19">P41-Q41-R41</f>
        <v>45175.483870967742</v>
      </c>
    </row>
    <row r="42" spans="1:19" ht="18.75">
      <c r="A42" s="1">
        <v>122434</v>
      </c>
      <c r="B42" s="12" t="s">
        <v>43</v>
      </c>
      <c r="C42" s="13" t="s">
        <v>16</v>
      </c>
      <c r="D42" s="12" t="s">
        <v>25</v>
      </c>
      <c r="E42" s="12">
        <v>1224140034</v>
      </c>
      <c r="F42" s="14">
        <v>65000</v>
      </c>
      <c r="G42" s="6">
        <f t="shared" si="10"/>
        <v>26000</v>
      </c>
      <c r="H42" s="6">
        <f t="shared" si="11"/>
        <v>6500</v>
      </c>
      <c r="I42" s="6">
        <f t="shared" si="12"/>
        <v>3250</v>
      </c>
      <c r="J42" s="16">
        <v>10</v>
      </c>
      <c r="K42" s="6">
        <f t="shared" si="13"/>
        <v>262.09677419354841</v>
      </c>
      <c r="L42" s="3">
        <f t="shared" si="14"/>
        <v>2620.9677419354839</v>
      </c>
      <c r="M42" s="3">
        <f t="shared" si="15"/>
        <v>10725</v>
      </c>
      <c r="N42" s="15">
        <v>3</v>
      </c>
      <c r="O42" s="11">
        <f t="shared" si="16"/>
        <v>6290.3225806451619</v>
      </c>
      <c r="P42" s="3">
        <f t="shared" si="17"/>
        <v>107805.64516129032</v>
      </c>
      <c r="Q42" s="17">
        <f t="shared" si="18"/>
        <v>8580</v>
      </c>
      <c r="R42" s="17">
        <v>500</v>
      </c>
      <c r="S42" s="26">
        <f t="shared" si="19"/>
        <v>98725.645161290318</v>
      </c>
    </row>
    <row r="43" spans="1:19" ht="18.75">
      <c r="A43" s="1">
        <v>122435</v>
      </c>
      <c r="B43" s="12" t="s">
        <v>44</v>
      </c>
      <c r="C43" s="13" t="s">
        <v>92</v>
      </c>
      <c r="D43" s="12" t="s">
        <v>24</v>
      </c>
      <c r="E43" s="12">
        <v>1224140035</v>
      </c>
      <c r="F43" s="14">
        <v>65000</v>
      </c>
      <c r="G43" s="6">
        <f t="shared" si="10"/>
        <v>26000</v>
      </c>
      <c r="H43" s="6">
        <f t="shared" si="11"/>
        <v>6500</v>
      </c>
      <c r="I43" s="6">
        <f t="shared" si="12"/>
        <v>3250</v>
      </c>
      <c r="J43" s="16">
        <v>11</v>
      </c>
      <c r="K43" s="6">
        <f t="shared" si="13"/>
        <v>262.09677419354841</v>
      </c>
      <c r="L43" s="3">
        <f t="shared" si="14"/>
        <v>2883.0645161290327</v>
      </c>
      <c r="M43" s="3">
        <f t="shared" si="15"/>
        <v>10725</v>
      </c>
      <c r="N43" s="15">
        <v>3</v>
      </c>
      <c r="O43" s="11">
        <f t="shared" si="16"/>
        <v>6290.3225806451619</v>
      </c>
      <c r="P43" s="3">
        <f t="shared" si="17"/>
        <v>108067.74193548386</v>
      </c>
      <c r="Q43" s="17">
        <f t="shared" si="18"/>
        <v>8580</v>
      </c>
      <c r="R43" s="17">
        <v>500</v>
      </c>
      <c r="S43" s="26">
        <f t="shared" si="19"/>
        <v>98987.741935483864</v>
      </c>
    </row>
    <row r="44" spans="1:19" ht="18.75">
      <c r="A44" s="1">
        <v>122436</v>
      </c>
      <c r="B44" s="12" t="s">
        <v>45</v>
      </c>
      <c r="C44" s="13" t="s">
        <v>93</v>
      </c>
      <c r="D44" s="12" t="s">
        <v>25</v>
      </c>
      <c r="E44" s="12">
        <v>1224140036</v>
      </c>
      <c r="F44" s="14">
        <v>65000</v>
      </c>
      <c r="G44" s="6">
        <f t="shared" si="10"/>
        <v>26000</v>
      </c>
      <c r="H44" s="6">
        <f t="shared" si="11"/>
        <v>6500</v>
      </c>
      <c r="I44" s="6">
        <f t="shared" si="12"/>
        <v>3250</v>
      </c>
      <c r="J44" s="16">
        <v>12</v>
      </c>
      <c r="K44" s="6">
        <f t="shared" si="13"/>
        <v>262.09677419354841</v>
      </c>
      <c r="L44" s="3">
        <f t="shared" si="14"/>
        <v>3145.161290322581</v>
      </c>
      <c r="M44" s="3">
        <f t="shared" si="15"/>
        <v>10725</v>
      </c>
      <c r="N44" s="15">
        <v>3</v>
      </c>
      <c r="O44" s="11">
        <f t="shared" si="16"/>
        <v>6290.3225806451619</v>
      </c>
      <c r="P44" s="3">
        <f t="shared" si="17"/>
        <v>108329.83870967741</v>
      </c>
      <c r="Q44" s="17">
        <f t="shared" si="18"/>
        <v>8580</v>
      </c>
      <c r="R44" s="17">
        <v>500</v>
      </c>
      <c r="S44" s="26">
        <f t="shared" si="19"/>
        <v>99249.838709677409</v>
      </c>
    </row>
    <row r="45" spans="1:19" ht="18.75">
      <c r="A45" s="1">
        <v>122437</v>
      </c>
      <c r="B45" s="12" t="s">
        <v>46</v>
      </c>
      <c r="C45" s="13" t="s">
        <v>94</v>
      </c>
      <c r="D45" s="12" t="s">
        <v>25</v>
      </c>
      <c r="E45" s="12">
        <v>1224140037</v>
      </c>
      <c r="F45" s="14">
        <v>65000</v>
      </c>
      <c r="G45" s="6">
        <f t="shared" si="10"/>
        <v>26000</v>
      </c>
      <c r="H45" s="6">
        <f t="shared" si="11"/>
        <v>6500</v>
      </c>
      <c r="I45" s="6">
        <f t="shared" si="12"/>
        <v>3250</v>
      </c>
      <c r="J45" s="16">
        <v>2</v>
      </c>
      <c r="K45" s="6">
        <f t="shared" si="13"/>
        <v>262.09677419354841</v>
      </c>
      <c r="L45" s="3">
        <f t="shared" si="14"/>
        <v>524.19354838709683</v>
      </c>
      <c r="M45" s="3">
        <f t="shared" si="15"/>
        <v>10725</v>
      </c>
      <c r="N45" s="15">
        <v>2</v>
      </c>
      <c r="O45" s="11">
        <f t="shared" si="16"/>
        <v>4193.5483870967746</v>
      </c>
      <c r="P45" s="3">
        <f t="shared" si="17"/>
        <v>107805.64516129032</v>
      </c>
      <c r="Q45" s="17">
        <f t="shared" si="18"/>
        <v>8580</v>
      </c>
      <c r="R45" s="17">
        <v>500</v>
      </c>
      <c r="S45" s="26">
        <f t="shared" si="19"/>
        <v>98725.645161290318</v>
      </c>
    </row>
    <row r="46" spans="1:19" ht="18.75">
      <c r="A46" s="1">
        <v>122438</v>
      </c>
      <c r="B46" s="12" t="s">
        <v>47</v>
      </c>
      <c r="C46" s="13" t="s">
        <v>95</v>
      </c>
      <c r="D46" s="12" t="s">
        <v>25</v>
      </c>
      <c r="E46" s="12">
        <v>1224140038</v>
      </c>
      <c r="F46" s="14">
        <v>65000</v>
      </c>
      <c r="G46" s="6">
        <f t="shared" si="10"/>
        <v>26000</v>
      </c>
      <c r="H46" s="6">
        <f t="shared" si="11"/>
        <v>6500</v>
      </c>
      <c r="I46" s="6">
        <f t="shared" si="12"/>
        <v>3250</v>
      </c>
      <c r="J46" s="16">
        <v>3</v>
      </c>
      <c r="K46" s="6">
        <f t="shared" si="13"/>
        <v>262.09677419354841</v>
      </c>
      <c r="L46" s="3">
        <f t="shared" si="14"/>
        <v>786.29032258064524</v>
      </c>
      <c r="M46" s="3">
        <f t="shared" si="15"/>
        <v>10725</v>
      </c>
      <c r="N46" s="15">
        <v>2</v>
      </c>
      <c r="O46" s="11">
        <f t="shared" si="16"/>
        <v>4193.5483870967746</v>
      </c>
      <c r="P46" s="3">
        <f t="shared" si="17"/>
        <v>108067.74193548388</v>
      </c>
      <c r="Q46" s="17">
        <f t="shared" si="18"/>
        <v>8580</v>
      </c>
      <c r="R46" s="17">
        <v>500</v>
      </c>
      <c r="S46" s="26">
        <f t="shared" si="19"/>
        <v>98987.741935483878</v>
      </c>
    </row>
    <row r="47" spans="1:19" ht="18.75">
      <c r="A47" s="1">
        <v>122439</v>
      </c>
      <c r="B47" s="12" t="s">
        <v>48</v>
      </c>
      <c r="C47" s="13" t="s">
        <v>96</v>
      </c>
      <c r="D47" s="12" t="s">
        <v>25</v>
      </c>
      <c r="E47" s="12">
        <v>1224140039</v>
      </c>
      <c r="F47" s="14">
        <v>65000</v>
      </c>
      <c r="G47" s="6">
        <f t="shared" si="10"/>
        <v>26000</v>
      </c>
      <c r="H47" s="6">
        <f t="shared" si="11"/>
        <v>6500</v>
      </c>
      <c r="I47" s="6">
        <f t="shared" si="12"/>
        <v>3250</v>
      </c>
      <c r="J47" s="16">
        <v>3</v>
      </c>
      <c r="K47" s="6">
        <f t="shared" si="13"/>
        <v>262.09677419354841</v>
      </c>
      <c r="L47" s="3">
        <f t="shared" si="14"/>
        <v>786.29032258064524</v>
      </c>
      <c r="M47" s="3">
        <f t="shared" si="15"/>
        <v>10725</v>
      </c>
      <c r="N47" s="15">
        <v>2</v>
      </c>
      <c r="O47" s="11">
        <f t="shared" si="16"/>
        <v>4193.5483870967746</v>
      </c>
      <c r="P47" s="3">
        <f t="shared" si="17"/>
        <v>108067.74193548388</v>
      </c>
      <c r="Q47" s="17">
        <f t="shared" si="18"/>
        <v>8580</v>
      </c>
      <c r="R47" s="17">
        <v>500</v>
      </c>
      <c r="S47" s="26">
        <f t="shared" si="19"/>
        <v>98987.741935483878</v>
      </c>
    </row>
    <row r="48" spans="1:19" ht="18.75">
      <c r="A48" s="1">
        <v>122440</v>
      </c>
      <c r="B48" s="12" t="s">
        <v>49</v>
      </c>
      <c r="C48" s="13" t="s">
        <v>97</v>
      </c>
      <c r="D48" s="12" t="s">
        <v>25</v>
      </c>
      <c r="E48" s="12">
        <v>1224140040</v>
      </c>
      <c r="F48" s="14">
        <v>120000</v>
      </c>
      <c r="G48" s="6">
        <f t="shared" si="10"/>
        <v>48000</v>
      </c>
      <c r="H48" s="6">
        <f t="shared" si="11"/>
        <v>12000</v>
      </c>
      <c r="I48" s="6">
        <f t="shared" si="12"/>
        <v>6000</v>
      </c>
      <c r="J48" s="16">
        <v>3</v>
      </c>
      <c r="K48" s="6">
        <f t="shared" si="13"/>
        <v>483.87096774193549</v>
      </c>
      <c r="L48" s="3">
        <f t="shared" si="14"/>
        <v>1451.6129032258063</v>
      </c>
      <c r="M48" s="3">
        <f t="shared" si="15"/>
        <v>19800</v>
      </c>
      <c r="N48" s="15">
        <v>2</v>
      </c>
      <c r="O48" s="11">
        <f t="shared" si="16"/>
        <v>7741.9354838709678</v>
      </c>
      <c r="P48" s="3">
        <f t="shared" si="17"/>
        <v>199509.67741935485</v>
      </c>
      <c r="Q48" s="17">
        <f t="shared" si="18"/>
        <v>15840</v>
      </c>
      <c r="R48" s="17">
        <v>500</v>
      </c>
      <c r="S48" s="26">
        <f t="shared" si="19"/>
        <v>183169.67741935485</v>
      </c>
    </row>
    <row r="49" spans="1:19" ht="18.75">
      <c r="A49" s="1">
        <v>122441</v>
      </c>
      <c r="B49" s="12" t="s">
        <v>50</v>
      </c>
      <c r="C49" s="13" t="s">
        <v>98</v>
      </c>
      <c r="D49" s="12" t="s">
        <v>26</v>
      </c>
      <c r="E49" s="12">
        <v>1224140041</v>
      </c>
      <c r="F49" s="14">
        <v>35000</v>
      </c>
      <c r="G49" s="6">
        <f t="shared" si="10"/>
        <v>14000</v>
      </c>
      <c r="H49" s="6">
        <f t="shared" si="11"/>
        <v>3500</v>
      </c>
      <c r="I49" s="6">
        <f t="shared" si="12"/>
        <v>1750</v>
      </c>
      <c r="J49" s="16">
        <v>3</v>
      </c>
      <c r="K49" s="6">
        <f t="shared" si="13"/>
        <v>141.12903225806451</v>
      </c>
      <c r="L49" s="3">
        <f t="shared" si="14"/>
        <v>423.38709677419354</v>
      </c>
      <c r="M49" s="3">
        <f t="shared" si="15"/>
        <v>5775</v>
      </c>
      <c r="N49" s="15">
        <v>2</v>
      </c>
      <c r="O49" s="11">
        <f t="shared" si="16"/>
        <v>2258.0645161290322</v>
      </c>
      <c r="P49" s="3">
        <f t="shared" si="17"/>
        <v>58190.322580645166</v>
      </c>
      <c r="Q49" s="17">
        <f t="shared" si="18"/>
        <v>4620</v>
      </c>
      <c r="R49" s="17">
        <v>500</v>
      </c>
      <c r="S49" s="26">
        <f t="shared" si="19"/>
        <v>53070.322580645166</v>
      </c>
    </row>
    <row r="50" spans="1:19" ht="18.75">
      <c r="A50" s="1">
        <v>122442</v>
      </c>
      <c r="B50" s="12" t="s">
        <v>51</v>
      </c>
      <c r="C50" s="13" t="s">
        <v>99</v>
      </c>
      <c r="D50" s="12" t="s">
        <v>25</v>
      </c>
      <c r="E50" s="12">
        <v>1224140042</v>
      </c>
      <c r="F50" s="14">
        <v>56000</v>
      </c>
      <c r="G50" s="6">
        <f t="shared" si="10"/>
        <v>22400</v>
      </c>
      <c r="H50" s="6">
        <f t="shared" si="11"/>
        <v>5600</v>
      </c>
      <c r="I50" s="6">
        <f t="shared" si="12"/>
        <v>2800</v>
      </c>
      <c r="J50" s="16">
        <v>3</v>
      </c>
      <c r="K50" s="6">
        <f t="shared" si="13"/>
        <v>225.80645161290323</v>
      </c>
      <c r="L50" s="3">
        <f t="shared" si="14"/>
        <v>677.41935483870975</v>
      </c>
      <c r="M50" s="3">
        <f t="shared" si="15"/>
        <v>9240</v>
      </c>
      <c r="N50" s="15">
        <v>2</v>
      </c>
      <c r="O50" s="11">
        <f t="shared" si="16"/>
        <v>3612.9032258064517</v>
      </c>
      <c r="P50" s="3">
        <f t="shared" si="17"/>
        <v>93104.516129032258</v>
      </c>
      <c r="Q50" s="17">
        <f t="shared" si="18"/>
        <v>7392</v>
      </c>
      <c r="R50" s="17">
        <v>500</v>
      </c>
      <c r="S50" s="26">
        <f t="shared" si="19"/>
        <v>85212.516129032258</v>
      </c>
    </row>
    <row r="51" spans="1:19" ht="18.75">
      <c r="A51" s="1">
        <v>122443</v>
      </c>
      <c r="B51" s="12" t="s">
        <v>50</v>
      </c>
      <c r="C51" s="13" t="s">
        <v>100</v>
      </c>
      <c r="D51" s="12" t="s">
        <v>25</v>
      </c>
      <c r="E51" s="12">
        <v>1224140043</v>
      </c>
      <c r="F51" s="14">
        <v>78000</v>
      </c>
      <c r="G51" s="6">
        <f t="shared" si="10"/>
        <v>31200</v>
      </c>
      <c r="H51" s="6">
        <f t="shared" si="11"/>
        <v>7800</v>
      </c>
      <c r="I51" s="6">
        <f t="shared" si="12"/>
        <v>3900</v>
      </c>
      <c r="J51" s="16">
        <v>3</v>
      </c>
      <c r="K51" s="6">
        <f t="shared" si="13"/>
        <v>314.51612903225805</v>
      </c>
      <c r="L51" s="3">
        <f t="shared" si="14"/>
        <v>943.54838709677415</v>
      </c>
      <c r="M51" s="3">
        <f t="shared" si="15"/>
        <v>12870</v>
      </c>
      <c r="N51" s="8">
        <v>2</v>
      </c>
      <c r="O51" s="11">
        <f t="shared" si="16"/>
        <v>5032.2580645161288</v>
      </c>
      <c r="P51" s="3">
        <f t="shared" si="17"/>
        <v>129681.29032258067</v>
      </c>
      <c r="Q51" s="17">
        <f t="shared" si="18"/>
        <v>10296</v>
      </c>
      <c r="R51" s="17">
        <v>500</v>
      </c>
      <c r="S51" s="26">
        <f t="shared" si="19"/>
        <v>118885.29032258067</v>
      </c>
    </row>
    <row r="52" spans="1:19" ht="18.75">
      <c r="A52" s="1">
        <v>122444</v>
      </c>
      <c r="B52" s="12" t="s">
        <v>52</v>
      </c>
      <c r="C52" s="13" t="s">
        <v>101</v>
      </c>
      <c r="D52" s="12" t="s">
        <v>25</v>
      </c>
      <c r="E52" s="12">
        <v>1224140044</v>
      </c>
      <c r="F52" s="14">
        <v>34000</v>
      </c>
      <c r="G52" s="6">
        <f t="shared" si="10"/>
        <v>13600</v>
      </c>
      <c r="H52" s="6">
        <f t="shared" si="11"/>
        <v>3400</v>
      </c>
      <c r="I52" s="6">
        <f t="shared" si="12"/>
        <v>1700</v>
      </c>
      <c r="J52" s="16">
        <v>3</v>
      </c>
      <c r="K52" s="6">
        <f t="shared" si="13"/>
        <v>137.09677419354838</v>
      </c>
      <c r="L52" s="3">
        <f t="shared" si="14"/>
        <v>411.29032258064512</v>
      </c>
      <c r="M52" s="3">
        <f t="shared" si="15"/>
        <v>5610</v>
      </c>
      <c r="N52" s="8">
        <v>3</v>
      </c>
      <c r="O52" s="11">
        <f t="shared" si="16"/>
        <v>3290.322580645161</v>
      </c>
      <c r="P52" s="3">
        <f t="shared" si="17"/>
        <v>55430.967741935485</v>
      </c>
      <c r="Q52" s="17">
        <f t="shared" si="18"/>
        <v>4488</v>
      </c>
      <c r="R52" s="17">
        <v>500</v>
      </c>
      <c r="S52" s="26">
        <f t="shared" si="19"/>
        <v>50442.967741935485</v>
      </c>
    </row>
    <row r="53" spans="1:19" ht="18.75">
      <c r="A53" s="1">
        <v>122445</v>
      </c>
      <c r="B53" s="12" t="s">
        <v>53</v>
      </c>
      <c r="C53" s="13" t="s">
        <v>102</v>
      </c>
      <c r="D53" s="12" t="s">
        <v>26</v>
      </c>
      <c r="E53" s="12">
        <v>1224140045</v>
      </c>
      <c r="F53" s="14">
        <v>125000</v>
      </c>
      <c r="G53" s="6">
        <f t="shared" si="10"/>
        <v>50000</v>
      </c>
      <c r="H53" s="6">
        <f t="shared" si="11"/>
        <v>12500</v>
      </c>
      <c r="I53" s="6">
        <f t="shared" si="12"/>
        <v>6250</v>
      </c>
      <c r="J53" s="16">
        <v>4</v>
      </c>
      <c r="K53" s="6">
        <f t="shared" si="13"/>
        <v>504.03225806451616</v>
      </c>
      <c r="L53" s="3">
        <f t="shared" si="14"/>
        <v>2016.1290322580646</v>
      </c>
      <c r="M53" s="3">
        <f t="shared" si="15"/>
        <v>20625</v>
      </c>
      <c r="N53" s="8">
        <v>4</v>
      </c>
      <c r="O53" s="11">
        <f t="shared" si="16"/>
        <v>16129.032258064517</v>
      </c>
      <c r="P53" s="3">
        <f t="shared" si="17"/>
        <v>200262.09677419355</v>
      </c>
      <c r="Q53" s="17">
        <f t="shared" si="18"/>
        <v>16500</v>
      </c>
      <c r="R53" s="17">
        <v>500</v>
      </c>
      <c r="S53" s="26">
        <f t="shared" si="19"/>
        <v>183262.09677419355</v>
      </c>
    </row>
    <row r="54" spans="1:19" ht="18.75">
      <c r="A54" s="1">
        <v>122446</v>
      </c>
      <c r="B54" s="12" t="s">
        <v>54</v>
      </c>
      <c r="C54" s="13" t="s">
        <v>103</v>
      </c>
      <c r="D54" s="12" t="s">
        <v>26</v>
      </c>
      <c r="E54" s="12">
        <v>1224140046</v>
      </c>
      <c r="F54" s="14">
        <v>230000</v>
      </c>
      <c r="G54" s="6">
        <f t="shared" si="10"/>
        <v>92000</v>
      </c>
      <c r="H54" s="6">
        <f t="shared" si="11"/>
        <v>23000</v>
      </c>
      <c r="I54" s="6">
        <f t="shared" si="12"/>
        <v>11500</v>
      </c>
      <c r="J54" s="16">
        <v>4</v>
      </c>
      <c r="K54" s="6">
        <f t="shared" si="13"/>
        <v>927.41935483870964</v>
      </c>
      <c r="L54" s="3">
        <f t="shared" si="14"/>
        <v>3709.6774193548385</v>
      </c>
      <c r="M54" s="3">
        <f t="shared" si="15"/>
        <v>37950</v>
      </c>
      <c r="N54" s="8">
        <v>5</v>
      </c>
      <c r="O54" s="11">
        <f t="shared" si="16"/>
        <v>37096.774193548386</v>
      </c>
      <c r="P54" s="3">
        <f t="shared" si="17"/>
        <v>361062.90322580648</v>
      </c>
      <c r="Q54" s="17">
        <f t="shared" si="18"/>
        <v>30360</v>
      </c>
      <c r="R54" s="17">
        <v>500</v>
      </c>
      <c r="S54" s="26">
        <f t="shared" si="19"/>
        <v>330202.90322580648</v>
      </c>
    </row>
    <row r="55" spans="1:19" ht="18.75">
      <c r="A55" s="1">
        <v>122447</v>
      </c>
      <c r="B55" s="12" t="s">
        <v>55</v>
      </c>
      <c r="C55" s="13" t="s">
        <v>104</v>
      </c>
      <c r="D55" s="12" t="s">
        <v>26</v>
      </c>
      <c r="E55" s="12">
        <v>1224140047</v>
      </c>
      <c r="F55" s="14">
        <v>56000</v>
      </c>
      <c r="G55" s="6">
        <f t="shared" si="10"/>
        <v>22400</v>
      </c>
      <c r="H55" s="6">
        <f t="shared" si="11"/>
        <v>5600</v>
      </c>
      <c r="I55" s="6">
        <f t="shared" si="12"/>
        <v>2800</v>
      </c>
      <c r="J55" s="16">
        <v>4</v>
      </c>
      <c r="K55" s="6">
        <f t="shared" si="13"/>
        <v>225.80645161290323</v>
      </c>
      <c r="L55" s="3">
        <f t="shared" si="14"/>
        <v>903.22580645161293</v>
      </c>
      <c r="M55" s="3">
        <f t="shared" si="15"/>
        <v>9240</v>
      </c>
      <c r="N55" s="8">
        <v>6</v>
      </c>
      <c r="O55" s="11">
        <f t="shared" si="16"/>
        <v>10838.709677419356</v>
      </c>
      <c r="P55" s="3">
        <f t="shared" si="17"/>
        <v>86104.516129032243</v>
      </c>
      <c r="Q55" s="17">
        <f t="shared" si="18"/>
        <v>7392</v>
      </c>
      <c r="R55" s="17">
        <v>500</v>
      </c>
      <c r="S55" s="26">
        <f t="shared" si="19"/>
        <v>78212.516129032243</v>
      </c>
    </row>
    <row r="56" spans="1:19" ht="18.75">
      <c r="A56" s="1">
        <v>122448</v>
      </c>
      <c r="B56" s="12" t="s">
        <v>56</v>
      </c>
      <c r="C56" s="13" t="s">
        <v>105</v>
      </c>
      <c r="D56" s="12" t="s">
        <v>26</v>
      </c>
      <c r="E56" s="12">
        <v>1224140048</v>
      </c>
      <c r="F56" s="14">
        <v>80000</v>
      </c>
      <c r="G56" s="6">
        <f t="shared" si="10"/>
        <v>32000</v>
      </c>
      <c r="H56" s="6">
        <f t="shared" si="11"/>
        <v>8000</v>
      </c>
      <c r="I56" s="6">
        <f t="shared" si="12"/>
        <v>4000</v>
      </c>
      <c r="J56" s="16">
        <v>4</v>
      </c>
      <c r="K56" s="6">
        <f t="shared" si="13"/>
        <v>322.58064516129031</v>
      </c>
      <c r="L56" s="3">
        <f t="shared" si="14"/>
        <v>1290.3225806451612</v>
      </c>
      <c r="M56" s="3">
        <f t="shared" si="15"/>
        <v>13200</v>
      </c>
      <c r="N56" s="8">
        <v>3</v>
      </c>
      <c r="O56" s="11">
        <f t="shared" si="16"/>
        <v>7741.9354838709678</v>
      </c>
      <c r="P56" s="3">
        <f t="shared" si="17"/>
        <v>130748.38709677418</v>
      </c>
      <c r="Q56" s="17">
        <f t="shared" si="18"/>
        <v>10560</v>
      </c>
      <c r="R56" s="17">
        <v>500</v>
      </c>
      <c r="S56" s="26">
        <f t="shared" si="19"/>
        <v>119688.38709677418</v>
      </c>
    </row>
    <row r="57" spans="1:19" ht="18.75">
      <c r="A57" s="1">
        <v>122449</v>
      </c>
      <c r="B57" s="12" t="s">
        <v>57</v>
      </c>
      <c r="C57" s="13" t="s">
        <v>106</v>
      </c>
      <c r="D57" s="12" t="s">
        <v>26</v>
      </c>
      <c r="E57" s="12">
        <v>1224140049</v>
      </c>
      <c r="F57" s="14">
        <v>56000</v>
      </c>
      <c r="G57" s="6">
        <f t="shared" si="10"/>
        <v>22400</v>
      </c>
      <c r="H57" s="6">
        <f t="shared" si="11"/>
        <v>5600</v>
      </c>
      <c r="I57" s="6">
        <f t="shared" si="12"/>
        <v>2800</v>
      </c>
      <c r="J57" s="16">
        <v>4</v>
      </c>
      <c r="K57" s="6">
        <f t="shared" si="13"/>
        <v>225.80645161290323</v>
      </c>
      <c r="L57" s="3">
        <f t="shared" si="14"/>
        <v>903.22580645161293</v>
      </c>
      <c r="M57" s="3">
        <f t="shared" si="15"/>
        <v>9240</v>
      </c>
      <c r="N57" s="8">
        <v>2</v>
      </c>
      <c r="O57" s="11">
        <f t="shared" si="16"/>
        <v>3612.9032258064517</v>
      </c>
      <c r="P57" s="3">
        <f t="shared" si="17"/>
        <v>93330.322580645152</v>
      </c>
      <c r="Q57" s="17">
        <f t="shared" si="18"/>
        <v>7392</v>
      </c>
      <c r="R57" s="17">
        <v>500</v>
      </c>
      <c r="S57" s="26">
        <f t="shared" si="19"/>
        <v>85438.322580645152</v>
      </c>
    </row>
    <row r="58" spans="1:19" ht="18.75">
      <c r="A58" s="1">
        <v>122450</v>
      </c>
      <c r="B58" s="12" t="s">
        <v>58</v>
      </c>
      <c r="C58" s="13" t="s">
        <v>107</v>
      </c>
      <c r="D58" s="12" t="s">
        <v>26</v>
      </c>
      <c r="E58" s="12">
        <v>1224140050</v>
      </c>
      <c r="F58" s="14">
        <v>45000</v>
      </c>
      <c r="G58" s="6">
        <f t="shared" si="10"/>
        <v>18000</v>
      </c>
      <c r="H58" s="6">
        <f t="shared" si="11"/>
        <v>4500</v>
      </c>
      <c r="I58" s="6">
        <f t="shared" si="12"/>
        <v>2250</v>
      </c>
      <c r="J58" s="16">
        <v>4</v>
      </c>
      <c r="K58" s="6">
        <f t="shared" si="13"/>
        <v>181.45161290322579</v>
      </c>
      <c r="L58" s="3">
        <f t="shared" si="14"/>
        <v>725.80645161290317</v>
      </c>
      <c r="M58" s="3">
        <f t="shared" si="15"/>
        <v>7425</v>
      </c>
      <c r="N58" s="8">
        <v>9</v>
      </c>
      <c r="O58" s="11">
        <f t="shared" si="16"/>
        <v>13064.516129032258</v>
      </c>
      <c r="P58" s="3">
        <f t="shared" si="17"/>
        <v>64836.290322580651</v>
      </c>
      <c r="Q58" s="17">
        <f t="shared" si="18"/>
        <v>5940</v>
      </c>
      <c r="R58" s="17">
        <v>500</v>
      </c>
      <c r="S58" s="26">
        <f t="shared" si="19"/>
        <v>58396.290322580651</v>
      </c>
    </row>
    <row r="59" spans="1:19" ht="18.75">
      <c r="A59" s="1">
        <v>122451</v>
      </c>
      <c r="B59" s="12" t="s">
        <v>59</v>
      </c>
      <c r="C59" s="13" t="s">
        <v>108</v>
      </c>
      <c r="D59" s="12" t="s">
        <v>26</v>
      </c>
      <c r="E59" s="12">
        <v>1224140051</v>
      </c>
      <c r="F59" s="14">
        <v>34000</v>
      </c>
      <c r="G59" s="6">
        <f t="shared" si="10"/>
        <v>13600</v>
      </c>
      <c r="H59" s="6">
        <f t="shared" si="11"/>
        <v>3400</v>
      </c>
      <c r="I59" s="6">
        <f t="shared" si="12"/>
        <v>1700</v>
      </c>
      <c r="J59" s="16">
        <v>4</v>
      </c>
      <c r="K59" s="6">
        <f t="shared" si="13"/>
        <v>137.09677419354838</v>
      </c>
      <c r="L59" s="3">
        <f t="shared" si="14"/>
        <v>548.38709677419354</v>
      </c>
      <c r="M59" s="3">
        <f t="shared" si="15"/>
        <v>5610</v>
      </c>
      <c r="N59" s="8">
        <v>1</v>
      </c>
      <c r="O59" s="11">
        <f t="shared" si="16"/>
        <v>1096.7741935483871</v>
      </c>
      <c r="P59" s="3">
        <f t="shared" si="17"/>
        <v>57761.61290322581</v>
      </c>
      <c r="Q59" s="17">
        <f t="shared" si="18"/>
        <v>4488</v>
      </c>
      <c r="R59" s="17">
        <v>500</v>
      </c>
      <c r="S59" s="26">
        <f t="shared" si="19"/>
        <v>52773.61290322581</v>
      </c>
    </row>
    <row r="60" spans="1:19" ht="21">
      <c r="B60" s="4"/>
      <c r="P60" s="19"/>
      <c r="Q60" s="20"/>
      <c r="R60" s="21"/>
      <c r="S60" s="25"/>
    </row>
    <row r="61" spans="1:19" ht="21">
      <c r="B61" s="4"/>
      <c r="P61" s="22"/>
      <c r="Q61" s="20"/>
      <c r="R61" s="21"/>
      <c r="S61" s="25"/>
    </row>
    <row r="62" spans="1:19">
      <c r="P62" s="22"/>
      <c r="Q62" s="20"/>
      <c r="R62" s="20"/>
      <c r="S62" s="25"/>
    </row>
    <row r="63" spans="1:19">
      <c r="P63" s="22"/>
      <c r="Q63" s="20"/>
      <c r="R63" s="20"/>
      <c r="S63" s="25"/>
    </row>
    <row r="64" spans="1:19">
      <c r="P64" s="22"/>
      <c r="Q64" s="20"/>
      <c r="R64" s="20"/>
      <c r="S64" s="25"/>
    </row>
    <row r="65" spans="16:19">
      <c r="P65" s="22"/>
      <c r="Q65" s="20"/>
      <c r="R65" s="20"/>
      <c r="S65" s="25"/>
    </row>
    <row r="66" spans="16:19">
      <c r="P66" s="22"/>
      <c r="Q66" s="20"/>
      <c r="R66" s="20"/>
      <c r="S66" s="25"/>
    </row>
    <row r="67" spans="16:19">
      <c r="P67" s="22"/>
      <c r="Q67" s="20"/>
      <c r="R67" s="20"/>
      <c r="S67" s="25"/>
    </row>
    <row r="68" spans="16:19">
      <c r="P68" s="22"/>
      <c r="Q68" s="20"/>
      <c r="R68" s="20"/>
      <c r="S68" s="25"/>
    </row>
    <row r="69" spans="16:19">
      <c r="P69" s="22"/>
      <c r="Q69" s="20"/>
      <c r="R69" s="20"/>
      <c r="S69" s="25"/>
    </row>
    <row r="70" spans="16:19">
      <c r="P70" s="22"/>
      <c r="Q70" s="20"/>
      <c r="R70" s="20"/>
      <c r="S70" s="25"/>
    </row>
    <row r="71" spans="16:19">
      <c r="P71" s="22"/>
      <c r="Q71" s="20"/>
      <c r="R71" s="20"/>
      <c r="S71" s="25"/>
    </row>
    <row r="72" spans="16:19">
      <c r="P72" s="22"/>
      <c r="Q72" s="20"/>
      <c r="R72" s="20"/>
      <c r="S72" s="25"/>
    </row>
    <row r="73" spans="16:19">
      <c r="P73" s="22"/>
      <c r="Q73" s="20"/>
      <c r="R73" s="20"/>
      <c r="S73" s="25"/>
    </row>
    <row r="74" spans="16:19">
      <c r="P74" s="22"/>
      <c r="Q74" s="20"/>
      <c r="R74" s="20"/>
      <c r="S74" s="25"/>
    </row>
    <row r="75" spans="16:19">
      <c r="P75" s="22"/>
      <c r="Q75" s="20"/>
      <c r="R75" s="20"/>
      <c r="S75" s="25"/>
    </row>
    <row r="76" spans="16:19">
      <c r="P76" s="22"/>
      <c r="Q76" s="20"/>
      <c r="R76" s="20"/>
      <c r="S76" s="25"/>
    </row>
    <row r="77" spans="16:19">
      <c r="P77" s="22"/>
      <c r="Q77" s="20"/>
      <c r="R77" s="20"/>
      <c r="S77" s="25"/>
    </row>
    <row r="78" spans="16:19">
      <c r="P78" s="22"/>
      <c r="Q78" s="20"/>
      <c r="R78" s="20"/>
      <c r="S78" s="25"/>
    </row>
    <row r="79" spans="16:19">
      <c r="P79" s="22"/>
      <c r="Q79" s="20"/>
      <c r="R79" s="20"/>
      <c r="S79" s="25"/>
    </row>
    <row r="80" spans="16:19">
      <c r="P80" s="22"/>
      <c r="Q80" s="20"/>
      <c r="R80" s="20"/>
      <c r="S80" s="25"/>
    </row>
    <row r="81" spans="16:19">
      <c r="P81" s="22"/>
      <c r="Q81" s="20"/>
      <c r="R81" s="20"/>
      <c r="S81" s="23"/>
    </row>
    <row r="82" spans="16:19">
      <c r="P82" s="22"/>
      <c r="Q82" s="20"/>
      <c r="R82" s="20"/>
      <c r="S82" s="23"/>
    </row>
    <row r="83" spans="16:19">
      <c r="P83" s="22"/>
      <c r="Q83" s="20"/>
      <c r="R83" s="20"/>
      <c r="S83" s="23"/>
    </row>
    <row r="84" spans="16:19">
      <c r="P84" s="22"/>
      <c r="Q84" s="20"/>
      <c r="R84" s="20"/>
      <c r="S84" s="23"/>
    </row>
    <row r="85" spans="16:19">
      <c r="P85" s="22"/>
      <c r="Q85" s="20"/>
      <c r="R85" s="20"/>
      <c r="S85" s="23"/>
    </row>
    <row r="86" spans="16:19">
      <c r="P86" s="22"/>
      <c r="Q86" s="20"/>
      <c r="R86" s="20"/>
      <c r="S86" s="23"/>
    </row>
    <row r="87" spans="16:19">
      <c r="P87" s="22"/>
      <c r="Q87" s="20"/>
      <c r="R87" s="20"/>
      <c r="S87" s="23"/>
    </row>
    <row r="88" spans="16:19">
      <c r="P88" s="22"/>
      <c r="Q88" s="20"/>
      <c r="R88" s="20"/>
      <c r="S88" s="23"/>
    </row>
    <row r="89" spans="16:19">
      <c r="P89" s="22"/>
      <c r="Q89" s="20"/>
      <c r="R89" s="20"/>
      <c r="S89" s="23"/>
    </row>
    <row r="90" spans="16:19">
      <c r="P90" s="22"/>
      <c r="Q90" s="20"/>
      <c r="R90" s="20"/>
      <c r="S90" s="23"/>
    </row>
    <row r="91" spans="16:19">
      <c r="P91" s="22"/>
      <c r="Q91" s="20"/>
      <c r="R91" s="20"/>
      <c r="S91" s="23"/>
    </row>
    <row r="92" spans="16:19">
      <c r="P92" s="22"/>
      <c r="Q92" s="20"/>
      <c r="R92" s="20"/>
      <c r="S92" s="23"/>
    </row>
    <row r="93" spans="16:19">
      <c r="P93" s="22"/>
      <c r="Q93" s="20"/>
      <c r="R93" s="20"/>
      <c r="S93" s="23"/>
    </row>
    <row r="94" spans="16:19">
      <c r="P94" s="22"/>
      <c r="Q94" s="20"/>
      <c r="R94" s="20"/>
      <c r="S94" s="23"/>
    </row>
    <row r="95" spans="16:19">
      <c r="P95" s="22"/>
      <c r="Q95" s="20"/>
      <c r="R95" s="20"/>
      <c r="S95" s="23"/>
    </row>
    <row r="96" spans="16:19">
      <c r="P96" s="22"/>
      <c r="Q96" s="20"/>
      <c r="R96" s="20"/>
      <c r="S96" s="23"/>
    </row>
    <row r="97" spans="16:19">
      <c r="P97" s="22"/>
      <c r="Q97" s="20"/>
      <c r="R97" s="20"/>
      <c r="S97" s="23"/>
    </row>
    <row r="98" spans="16:19">
      <c r="S98" s="24"/>
    </row>
    <row r="99" spans="16:19">
      <c r="S99" s="24"/>
    </row>
    <row r="100" spans="16:19">
      <c r="S100" s="24"/>
    </row>
    <row r="101" spans="16:19">
      <c r="S101" s="24"/>
    </row>
    <row r="102" spans="16:19">
      <c r="S102" s="24"/>
    </row>
    <row r="103" spans="16:19">
      <c r="S103" s="24"/>
    </row>
    <row r="104" spans="16:19">
      <c r="S104" s="24"/>
    </row>
    <row r="105" spans="16:19">
      <c r="S105" s="24"/>
    </row>
    <row r="106" spans="16:19">
      <c r="S106" s="24"/>
    </row>
    <row r="107" spans="16:19">
      <c r="S107" s="24"/>
    </row>
    <row r="108" spans="16:19">
      <c r="S108" s="24"/>
    </row>
    <row r="109" spans="16:19">
      <c r="S109" s="24"/>
    </row>
    <row r="110" spans="16:19">
      <c r="S110" s="24"/>
    </row>
    <row r="111" spans="16:19">
      <c r="S111" s="24"/>
    </row>
    <row r="112" spans="16:19">
      <c r="S112" s="24"/>
    </row>
    <row r="113" spans="19:19">
      <c r="S113" s="24"/>
    </row>
    <row r="114" spans="19:19">
      <c r="S114" s="24"/>
    </row>
    <row r="115" spans="19:19">
      <c r="S115" s="24"/>
    </row>
    <row r="116" spans="19:19">
      <c r="S116" s="24"/>
    </row>
    <row r="117" spans="19:19">
      <c r="S117" s="24"/>
    </row>
    <row r="118" spans="19:19">
      <c r="S118" s="24"/>
    </row>
    <row r="119" spans="19:19">
      <c r="S119" s="24"/>
    </row>
    <row r="120" spans="19:19">
      <c r="S120" s="24"/>
    </row>
    <row r="121" spans="19:19">
      <c r="S121" s="24"/>
    </row>
    <row r="122" spans="19:19">
      <c r="S122" s="24"/>
    </row>
    <row r="123" spans="19:19">
      <c r="S123" s="24"/>
    </row>
    <row r="124" spans="19:19">
      <c r="S124" s="24"/>
    </row>
    <row r="125" spans="19:19">
      <c r="S125" s="24"/>
    </row>
    <row r="126" spans="19:19">
      <c r="S126" s="24"/>
    </row>
    <row r="127" spans="19:19">
      <c r="S127" s="24"/>
    </row>
    <row r="128" spans="19:19">
      <c r="S128" s="24"/>
    </row>
    <row r="129" spans="19:19">
      <c r="S129" s="24"/>
    </row>
    <row r="130" spans="19:19">
      <c r="S130" s="24"/>
    </row>
    <row r="131" spans="19:19">
      <c r="S131" s="24"/>
    </row>
    <row r="132" spans="19:19">
      <c r="S132" s="24"/>
    </row>
    <row r="133" spans="19:19">
      <c r="S133" s="24"/>
    </row>
    <row r="134" spans="19:19">
      <c r="S134" s="24"/>
    </row>
    <row r="135" spans="19:19">
      <c r="S135" s="24"/>
    </row>
    <row r="136" spans="19:19">
      <c r="S136" s="24"/>
    </row>
    <row r="137" spans="19:19">
      <c r="S137" s="24"/>
    </row>
    <row r="138" spans="19:19">
      <c r="S138" s="24"/>
    </row>
    <row r="139" spans="19:19">
      <c r="S139" s="24"/>
    </row>
    <row r="140" spans="19:19">
      <c r="S140" s="24"/>
    </row>
    <row r="141" spans="19:19">
      <c r="S141" s="24"/>
    </row>
    <row r="142" spans="19:19">
      <c r="S142" s="24"/>
    </row>
    <row r="143" spans="19:19">
      <c r="S143" s="24"/>
    </row>
    <row r="144" spans="19:19">
      <c r="S144" s="24"/>
    </row>
    <row r="145" spans="19:19">
      <c r="S145" s="24"/>
    </row>
    <row r="146" spans="19:19">
      <c r="S146" s="24"/>
    </row>
    <row r="147" spans="19:19">
      <c r="S147" s="24"/>
    </row>
    <row r="148" spans="19:19">
      <c r="S148" s="24"/>
    </row>
    <row r="149" spans="19:19">
      <c r="S149" s="24"/>
    </row>
    <row r="150" spans="19:19">
      <c r="S150" s="24"/>
    </row>
    <row r="151" spans="19:19">
      <c r="S151" s="24"/>
    </row>
    <row r="152" spans="19:19">
      <c r="S152" s="24"/>
    </row>
    <row r="153" spans="19:19">
      <c r="S153" s="24"/>
    </row>
    <row r="154" spans="19:19">
      <c r="S154" s="24"/>
    </row>
    <row r="155" spans="19:19">
      <c r="S155" s="24"/>
    </row>
    <row r="156" spans="19:19">
      <c r="S156" s="24"/>
    </row>
    <row r="157" spans="19:19">
      <c r="S157" s="24"/>
    </row>
    <row r="158" spans="19:19">
      <c r="S158" s="24"/>
    </row>
    <row r="159" spans="19:19">
      <c r="S159" s="24"/>
    </row>
    <row r="160" spans="19:19">
      <c r="S160" s="24"/>
    </row>
    <row r="161" spans="19:19">
      <c r="S161" s="24"/>
    </row>
    <row r="162" spans="19:19">
      <c r="S162" s="24"/>
    </row>
    <row r="163" spans="19:19">
      <c r="S163" s="24"/>
    </row>
    <row r="164" spans="19:19">
      <c r="S164" s="24"/>
    </row>
    <row r="165" spans="19:19">
      <c r="S165" s="24"/>
    </row>
    <row r="166" spans="19:19">
      <c r="S166" s="24"/>
    </row>
    <row r="167" spans="19:19">
      <c r="S167" s="24"/>
    </row>
    <row r="168" spans="19:19">
      <c r="S168" s="24"/>
    </row>
    <row r="169" spans="19:19">
      <c r="S169" s="24"/>
    </row>
    <row r="170" spans="19:19">
      <c r="S170" s="24"/>
    </row>
    <row r="171" spans="19:19">
      <c r="S171" s="24"/>
    </row>
    <row r="172" spans="19:19">
      <c r="S172" s="24"/>
    </row>
    <row r="173" spans="19:19">
      <c r="S173" s="24"/>
    </row>
    <row r="174" spans="19:19">
      <c r="S174" s="24"/>
    </row>
    <row r="175" spans="19:19">
      <c r="S175" s="24"/>
    </row>
    <row r="176" spans="19:19">
      <c r="S176" s="24"/>
    </row>
    <row r="177" spans="19:19">
      <c r="S177" s="24"/>
    </row>
    <row r="178" spans="19:19">
      <c r="S178" s="24"/>
    </row>
    <row r="179" spans="19:19">
      <c r="S179" s="24"/>
    </row>
    <row r="180" spans="19:19">
      <c r="S180" s="24"/>
    </row>
    <row r="181" spans="19:19">
      <c r="S181" s="24"/>
    </row>
    <row r="182" spans="19:19">
      <c r="S182" s="24"/>
    </row>
    <row r="183" spans="19:19">
      <c r="S183" s="24"/>
    </row>
    <row r="184" spans="19:19">
      <c r="S184" s="24"/>
    </row>
    <row r="185" spans="19:19">
      <c r="S185" s="24"/>
    </row>
  </sheetData>
  <sortState ref="S8:S58">
    <sortCondition descending="1" ref="S7"/>
  </sortState>
  <mergeCells count="4">
    <mergeCell ref="E7:S7"/>
    <mergeCell ref="A1:T3"/>
    <mergeCell ref="A5:S6"/>
    <mergeCell ref="E4:S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Sheet4</vt:lpstr>
      <vt:lpstr>Sheet5</vt:lpstr>
      <vt:lpstr>dashboarding</vt:lpstr>
      <vt:lpstr>PAYROLL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2026-04-18T03:21:07Z</dcterms:modified>
</cp:coreProperties>
</file>